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diapaNjamouKajetan\Desktop\Excel Projects\"/>
    </mc:Choice>
  </mc:AlternateContent>
  <xr:revisionPtr revIDLastSave="0" documentId="13_ncr:1_{5164B7EC-0937-469F-8D32-78DD87509384}" xr6:coauthVersionLast="47" xr6:coauthVersionMax="47" xr10:uidLastSave="{00000000-0000-0000-0000-000000000000}"/>
  <bookViews>
    <workbookView xWindow="-110" yWindow="-110" windowWidth="19420" windowHeight="12420" xr2:uid="{66E04E16-171A-4C66-8A57-0F310D02BB06}"/>
  </bookViews>
  <sheets>
    <sheet name="Payroll" sheetId="1" r:id="rId1"/>
    <sheet name="Employees" sheetId="2" r:id="rId2"/>
  </sheets>
  <definedNames>
    <definedName name="_xlnm._FilterDatabase" localSheetId="1" hidden="1">Employees!$E$4:$G$4</definedName>
    <definedName name="_xlnm.Print_Area" localSheetId="0">Payroll!$G$2:$Q$32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9" i="1" l="1"/>
  <c r="H11" i="1"/>
  <c r="O11" i="1"/>
  <c r="O16" i="1"/>
  <c r="O17" i="1"/>
  <c r="O15" i="1"/>
  <c r="O18" i="1" l="1"/>
  <c r="O22" i="1" l="1"/>
  <c r="O21" i="1"/>
  <c r="O24" i="1"/>
  <c r="O23" i="1"/>
  <c r="O25" i="1" l="1"/>
  <c r="O27" i="1" s="1"/>
</calcChain>
</file>

<file path=xl/sharedStrings.xml><?xml version="1.0" encoding="utf-8"?>
<sst xmlns="http://schemas.openxmlformats.org/spreadsheetml/2006/main" count="65" uniqueCount="54">
  <si>
    <t>Employee Name</t>
  </si>
  <si>
    <t>Position</t>
  </si>
  <si>
    <t>Department</t>
  </si>
  <si>
    <t>Date</t>
  </si>
  <si>
    <t>EARNINGS</t>
  </si>
  <si>
    <t>Standard Pay</t>
  </si>
  <si>
    <t>Holiday Pay</t>
  </si>
  <si>
    <t>Overtime Pay</t>
  </si>
  <si>
    <t>Hours</t>
  </si>
  <si>
    <t>Rate</t>
  </si>
  <si>
    <t>Total</t>
  </si>
  <si>
    <t>DEDUCTIONS</t>
  </si>
  <si>
    <t>Income tax</t>
  </si>
  <si>
    <t>Health Insurance</t>
  </si>
  <si>
    <t>Pension</t>
  </si>
  <si>
    <t>Council tax</t>
  </si>
  <si>
    <t>Gross Pay:</t>
  </si>
  <si>
    <t>Total Deduction:</t>
  </si>
  <si>
    <t>Name and Signature of Acccount</t>
  </si>
  <si>
    <t>Name and Signature of Employee</t>
  </si>
  <si>
    <t>Prep-Class Services</t>
  </si>
  <si>
    <t xml:space="preserve">                                  NET PAY</t>
  </si>
  <si>
    <t>Name</t>
  </si>
  <si>
    <t>Jason Bourne</t>
  </si>
  <si>
    <t>Micky Mouse</t>
  </si>
  <si>
    <t>Mark Dacascos</t>
  </si>
  <si>
    <t>Jet Li</t>
  </si>
  <si>
    <t>Jackie Chan</t>
  </si>
  <si>
    <t>Jensen Huang</t>
  </si>
  <si>
    <t>Sam Altman</t>
  </si>
  <si>
    <t>John Wick</t>
  </si>
  <si>
    <t>Van Damme</t>
  </si>
  <si>
    <t>Jessica Alba</t>
  </si>
  <si>
    <t>Wesley Snipes</t>
  </si>
  <si>
    <t>Sylvested Stallone</t>
  </si>
  <si>
    <t>Arnold Schwarz</t>
  </si>
  <si>
    <t>Acountant</t>
  </si>
  <si>
    <t>Finance</t>
  </si>
  <si>
    <t>Technical Support</t>
  </si>
  <si>
    <t>Operations</t>
  </si>
  <si>
    <t>Developer</t>
  </si>
  <si>
    <t>IT</t>
  </si>
  <si>
    <t>Cashier</t>
  </si>
  <si>
    <t>Secretary</t>
  </si>
  <si>
    <t>Administration</t>
  </si>
  <si>
    <t>Reception</t>
  </si>
  <si>
    <t>Lead Developer</t>
  </si>
  <si>
    <t>Customer Support</t>
  </si>
  <si>
    <t>HR manager</t>
  </si>
  <si>
    <t>Legal</t>
  </si>
  <si>
    <t>Assistant HR</t>
  </si>
  <si>
    <t>Payroll</t>
  </si>
  <si>
    <t>Supervisor</t>
  </si>
  <si>
    <t>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</si>
</sst>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28"/>
      <color theme="1"/>
      <name val="Times New Roman"/>
      <family val="1"/>
    </font>
    <font>
      <b/>
      <sz val="18"/>
      <name val="Times New Roman"/>
      <family val="1"/>
    </font>
    <font>
      <sz val="22"/>
      <color theme="1"/>
      <name val="Times New Roman"/>
      <family val="1"/>
    </font>
    <font>
      <b/>
      <sz val="20"/>
      <color rgb="FF000000"/>
      <name val="Times New Roman"/>
      <family val="1"/>
    </font>
    <font>
      <sz val="12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0" xfId="0" applyFont="1" applyFill="1" applyAlignment="1"/>
    <xf numFmtId="0" fontId="7" fillId="4" borderId="2" xfId="0" applyFont="1" applyFill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5" fillId="0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1" fillId="3" borderId="1" xfId="0" applyFont="1" applyFill="1" applyBorder="1" applyAlignment="1">
      <alignment horizontal="center"/>
    </xf>
    <xf numFmtId="0" fontId="3" fillId="2" borderId="3" xfId="0" applyFont="1" applyFill="1" applyBorder="1"/>
    <xf numFmtId="0" fontId="1" fillId="3" borderId="5" xfId="0" applyFont="1" applyFill="1" applyBorder="1" applyAlignment="1">
      <alignment horizontal="center"/>
    </xf>
    <xf numFmtId="0" fontId="1" fillId="0" borderId="3" xfId="0" applyFont="1" applyBorder="1"/>
    <xf numFmtId="0" fontId="1" fillId="3" borderId="6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5" fillId="12" borderId="7" xfId="0" applyFont="1" applyFill="1" applyBorder="1" applyAlignment="1"/>
    <xf numFmtId="0" fontId="5" fillId="6" borderId="8" xfId="0" applyFont="1" applyFill="1" applyBorder="1" applyAlignment="1">
      <alignment horizontal="center" wrapText="1"/>
    </xf>
    <xf numFmtId="0" fontId="5" fillId="12" borderId="8" xfId="0" applyFont="1" applyFill="1" applyBorder="1" applyAlignment="1"/>
    <xf numFmtId="0" fontId="5" fillId="12" borderId="9" xfId="0" applyFont="1" applyFill="1" applyBorder="1" applyAlignment="1"/>
    <xf numFmtId="0" fontId="0" fillId="12" borderId="10" xfId="0" applyFill="1" applyBorder="1"/>
    <xf numFmtId="0" fontId="5" fillId="6" borderId="0" xfId="0" applyFont="1" applyFill="1" applyBorder="1" applyAlignment="1">
      <alignment horizontal="center" wrapText="1"/>
    </xf>
    <xf numFmtId="0" fontId="6" fillId="12" borderId="0" xfId="0" applyFont="1" applyFill="1" applyBorder="1" applyAlignment="1"/>
    <xf numFmtId="0" fontId="6" fillId="12" borderId="11" xfId="0" applyFont="1" applyFill="1" applyBorder="1" applyAlignment="1"/>
    <xf numFmtId="0" fontId="0" fillId="12" borderId="0" xfId="0" applyFill="1" applyBorder="1"/>
    <xf numFmtId="0" fontId="0" fillId="12" borderId="11" xfId="0" applyFill="1" applyBorder="1"/>
    <xf numFmtId="0" fontId="0" fillId="12" borderId="11" xfId="0" applyFill="1" applyBorder="1" applyAlignment="1"/>
    <xf numFmtId="0" fontId="1" fillId="12" borderId="10" xfId="0" applyFont="1" applyFill="1" applyBorder="1"/>
    <xf numFmtId="0" fontId="1" fillId="12" borderId="0" xfId="0" applyFont="1" applyFill="1" applyBorder="1"/>
    <xf numFmtId="0" fontId="1" fillId="12" borderId="11" xfId="0" applyFont="1" applyFill="1" applyBorder="1" applyAlignment="1"/>
    <xf numFmtId="0" fontId="2" fillId="2" borderId="1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10" borderId="10" xfId="0" applyFill="1" applyBorder="1"/>
    <xf numFmtId="0" fontId="0" fillId="10" borderId="0" xfId="0" applyFill="1" applyBorder="1"/>
    <xf numFmtId="0" fontId="3" fillId="10" borderId="0" xfId="0" applyFont="1" applyFill="1" applyBorder="1"/>
    <xf numFmtId="0" fontId="0" fillId="3" borderId="0" xfId="0" applyFill="1" applyBorder="1"/>
    <xf numFmtId="0" fontId="0" fillId="3" borderId="11" xfId="0" applyFill="1" applyBorder="1"/>
    <xf numFmtId="0" fontId="1" fillId="0" borderId="12" xfId="0" applyFont="1" applyBorder="1"/>
    <xf numFmtId="0" fontId="1" fillId="11" borderId="10" xfId="0" applyFont="1" applyFill="1" applyBorder="1"/>
    <xf numFmtId="0" fontId="0" fillId="9" borderId="0" xfId="0" applyFill="1" applyBorder="1"/>
    <xf numFmtId="0" fontId="1" fillId="0" borderId="10" xfId="0" applyFont="1" applyBorder="1"/>
    <xf numFmtId="0" fontId="0" fillId="0" borderId="0" xfId="0" applyBorder="1"/>
    <xf numFmtId="0" fontId="0" fillId="0" borderId="11" xfId="0" applyBorder="1"/>
    <xf numFmtId="0" fontId="0" fillId="8" borderId="0" xfId="0" applyFill="1" applyBorder="1"/>
    <xf numFmtId="0" fontId="1" fillId="9" borderId="10" xfId="0" applyFont="1" applyFill="1" applyBorder="1"/>
    <xf numFmtId="0" fontId="0" fillId="0" borderId="10" xfId="0" applyBorder="1"/>
    <xf numFmtId="0" fontId="4" fillId="2" borderId="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3" fillId="0" borderId="12" xfId="0" applyFont="1" applyBorder="1" applyAlignment="1">
      <alignment horizontal="center" wrapText="1"/>
    </xf>
    <xf numFmtId="0" fontId="0" fillId="8" borderId="13" xfId="0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18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4" fontId="1" fillId="3" borderId="5" xfId="0" applyNumberFormat="1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center"/>
    </xf>
    <xf numFmtId="0" fontId="9" fillId="0" borderId="0" xfId="0" applyFont="1"/>
    <xf numFmtId="0" fontId="4" fillId="0" borderId="0" xfId="0" applyFont="1"/>
    <xf numFmtId="0" fontId="1" fillId="3" borderId="5" xfId="0" applyFont="1" applyFill="1" applyBorder="1" applyAlignment="1">
      <alignment horizontal="left"/>
    </xf>
    <xf numFmtId="0" fontId="3" fillId="2" borderId="4" xfId="0" applyFont="1" applyFill="1" applyBorder="1"/>
    <xf numFmtId="0" fontId="0" fillId="0" borderId="1" xfId="0" applyFill="1" applyBorder="1"/>
  </cellXfs>
  <cellStyles count="1"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30</xdr:row>
          <xdr:rowOff>44450</xdr:rowOff>
        </xdr:from>
        <xdr:to>
          <xdr:col>13</xdr:col>
          <xdr:colOff>1206500</xdr:colOff>
          <xdr:row>31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SE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419100</xdr:colOff>
      <xdr:row>3</xdr:row>
      <xdr:rowOff>181688</xdr:rowOff>
    </xdr:from>
    <xdr:to>
      <xdr:col>14</xdr:col>
      <xdr:colOff>12700</xdr:colOff>
      <xdr:row>7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4C1E3B9-09E7-4F7E-A73B-1ADD80F43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734138"/>
          <a:ext cx="927100" cy="56761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1113C-63EB-49A0-975C-E4F2438ADC19}" name="Table1" displayName="Table1" ref="E4:G17" totalsRowShown="0" headerRowDxfId="0" dataDxfId="1">
  <autoFilter ref="E4:G17" xr:uid="{7D71113C-63EB-49A0-975C-E4F2438ADC19}"/>
  <tableColumns count="3">
    <tableColumn id="1" xr3:uid="{9FB79A08-C899-4F0C-AC7B-6A65337A360E}" name="Name" dataDxfId="4"/>
    <tableColumn id="2" xr3:uid="{31555644-FDD4-47CE-8704-28079D3D933C}" name="Position" dataDxfId="3"/>
    <tableColumn id="3" xr3:uid="{4EC39606-2AB8-4DF8-BB68-D98B42D1D1C2}" name="Department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BFF1D-3653-4645-AAD6-E4E69D62DE25}">
  <sheetPr codeName="Sheet1"/>
  <dimension ref="G2:S33"/>
  <sheetViews>
    <sheetView showGridLines="0" tabSelected="1" topLeftCell="D13" workbookViewId="0">
      <selection activeCell="N17" sqref="N17"/>
    </sheetView>
  </sheetViews>
  <sheetFormatPr defaultRowHeight="14.5" x14ac:dyDescent="0.35"/>
  <cols>
    <col min="7" max="7" width="18.90625" customWidth="1"/>
    <col min="8" max="8" width="8.90625" customWidth="1"/>
    <col min="13" max="13" width="6.7265625" customWidth="1"/>
    <col min="14" max="14" width="19.08984375" customWidth="1"/>
    <col min="15" max="15" width="20.81640625" customWidth="1"/>
    <col min="17" max="17" width="1" customWidth="1"/>
  </cols>
  <sheetData>
    <row r="2" spans="7:19" ht="14.5" customHeight="1" x14ac:dyDescent="0.65">
      <c r="G2" s="3"/>
      <c r="H2" s="6"/>
      <c r="I2" s="6"/>
      <c r="J2" s="6"/>
      <c r="K2" s="6"/>
      <c r="L2" s="6"/>
      <c r="M2" s="6"/>
      <c r="N2" s="6"/>
      <c r="O2" s="3"/>
      <c r="P2" s="3"/>
      <c r="Q2" s="3"/>
    </row>
    <row r="3" spans="7:19" ht="14.5" customHeight="1" x14ac:dyDescent="0.65">
      <c r="G3" s="3"/>
      <c r="H3" s="6"/>
      <c r="I3" s="6"/>
      <c r="J3" s="6"/>
      <c r="K3" s="6"/>
      <c r="L3" s="6"/>
      <c r="M3" s="6"/>
      <c r="N3" s="6"/>
      <c r="O3" s="3"/>
      <c r="P3" s="3"/>
      <c r="Q3" s="3"/>
    </row>
    <row r="4" spans="7:19" ht="14.5" customHeight="1" thickBot="1" x14ac:dyDescent="0.7">
      <c r="G4" s="3"/>
      <c r="H4" s="6"/>
      <c r="I4" s="6"/>
      <c r="J4" s="6"/>
      <c r="K4" s="6"/>
      <c r="L4" s="6"/>
      <c r="M4" s="6"/>
      <c r="N4" s="6"/>
      <c r="O4" s="3"/>
      <c r="P4" s="3"/>
      <c r="Q4" s="3"/>
    </row>
    <row r="5" spans="7:19" ht="14.5" customHeight="1" x14ac:dyDescent="0.65">
      <c r="G5" s="15"/>
      <c r="H5" s="16" t="s">
        <v>20</v>
      </c>
      <c r="I5" s="16"/>
      <c r="J5" s="16"/>
      <c r="K5" s="16"/>
      <c r="L5" s="16"/>
      <c r="M5" s="16"/>
      <c r="N5" s="16"/>
      <c r="O5" s="17"/>
      <c r="P5" s="17"/>
      <c r="Q5" s="18"/>
    </row>
    <row r="6" spans="7:19" ht="14.5" customHeight="1" x14ac:dyDescent="0.45">
      <c r="G6" s="19"/>
      <c r="H6" s="20"/>
      <c r="I6" s="20"/>
      <c r="J6" s="20"/>
      <c r="K6" s="20"/>
      <c r="L6" s="20"/>
      <c r="M6" s="20"/>
      <c r="N6" s="20"/>
      <c r="O6" s="21"/>
      <c r="P6" s="21"/>
      <c r="Q6" s="22"/>
    </row>
    <row r="7" spans="7:19" ht="14.5" customHeight="1" x14ac:dyDescent="0.45">
      <c r="G7" s="19"/>
      <c r="H7" s="20"/>
      <c r="I7" s="20"/>
      <c r="J7" s="20"/>
      <c r="K7" s="20"/>
      <c r="L7" s="20"/>
      <c r="M7" s="20"/>
      <c r="N7" s="20"/>
      <c r="O7" s="21"/>
      <c r="P7" s="21"/>
      <c r="Q7" s="22"/>
    </row>
    <row r="8" spans="7:19" ht="15" thickBot="1" x14ac:dyDescent="0.4">
      <c r="G8" s="19"/>
      <c r="H8" s="23"/>
      <c r="I8" s="23"/>
      <c r="J8" s="23"/>
      <c r="K8" s="23"/>
      <c r="L8" s="23"/>
      <c r="M8" s="23"/>
      <c r="N8" s="23"/>
      <c r="O8" s="23"/>
      <c r="P8" s="23"/>
      <c r="Q8" s="24"/>
    </row>
    <row r="9" spans="7:19" ht="18.5" thickBot="1" x14ac:dyDescent="0.45">
      <c r="G9" s="12" t="s">
        <v>0</v>
      </c>
      <c r="H9" s="11" t="s">
        <v>28</v>
      </c>
      <c r="I9" s="9"/>
      <c r="J9" s="9"/>
      <c r="K9" s="9"/>
      <c r="L9" s="9"/>
      <c r="M9" s="13"/>
      <c r="N9" s="12" t="s">
        <v>2</v>
      </c>
      <c r="O9" s="64" t="str">
        <f>_xlfn.XLOOKUP(H9,Employees!E5:E1048576,Employees!G5:G1048576)</f>
        <v>Administration</v>
      </c>
      <c r="P9" s="60"/>
      <c r="Q9" s="25"/>
      <c r="R9" s="2"/>
      <c r="S9" s="2"/>
    </row>
    <row r="10" spans="7:19" ht="18.5" thickBot="1" x14ac:dyDescent="0.45">
      <c r="G10" s="26"/>
      <c r="H10" s="27"/>
      <c r="I10" s="27"/>
      <c r="J10" s="27"/>
      <c r="K10" s="27"/>
      <c r="L10" s="27"/>
      <c r="M10" s="27"/>
      <c r="N10" s="27"/>
      <c r="O10" s="27"/>
      <c r="P10" s="23"/>
      <c r="Q10" s="24"/>
    </row>
    <row r="11" spans="7:19" ht="18.5" thickBot="1" x14ac:dyDescent="0.45">
      <c r="G11" s="12" t="s">
        <v>1</v>
      </c>
      <c r="H11" s="11" t="str">
        <f>_xlfn.XLOOKUP(H9,Employees!E5:E1048576,Employees!F5:F1048576)</f>
        <v>Reception</v>
      </c>
      <c r="I11" s="9"/>
      <c r="J11" s="9"/>
      <c r="K11" s="9"/>
      <c r="L11" s="9"/>
      <c r="M11" s="13"/>
      <c r="N11" s="12" t="s">
        <v>3</v>
      </c>
      <c r="O11" s="59">
        <f ca="1">TODAY()</f>
        <v>45891</v>
      </c>
      <c r="P11" s="60"/>
      <c r="Q11" s="28"/>
      <c r="R11" s="2"/>
      <c r="S11" s="2"/>
    </row>
    <row r="12" spans="7:19" x14ac:dyDescent="0.35">
      <c r="G12" s="19"/>
      <c r="H12" s="23"/>
      <c r="I12" s="23"/>
      <c r="J12" s="23"/>
      <c r="K12" s="23"/>
      <c r="L12" s="23"/>
      <c r="M12" s="23"/>
      <c r="N12" s="23"/>
      <c r="O12" s="23"/>
      <c r="P12" s="23"/>
      <c r="Q12" s="24"/>
    </row>
    <row r="13" spans="7:19" ht="20.5" thickBot="1" x14ac:dyDescent="0.45">
      <c r="G13" s="29" t="s">
        <v>4</v>
      </c>
      <c r="H13" s="30"/>
      <c r="I13" s="30"/>
      <c r="J13" s="30"/>
      <c r="K13" s="30"/>
      <c r="L13" s="30"/>
      <c r="M13" s="30"/>
      <c r="N13" s="30"/>
      <c r="O13" s="30"/>
      <c r="P13" s="30"/>
      <c r="Q13" s="31"/>
    </row>
    <row r="14" spans="7:19" ht="16" thickBot="1" x14ac:dyDescent="0.4">
      <c r="G14" s="32"/>
      <c r="H14" s="33"/>
      <c r="I14" s="34"/>
      <c r="J14" s="65" t="s">
        <v>8</v>
      </c>
      <c r="K14" s="34"/>
      <c r="L14" s="34"/>
      <c r="M14" s="65" t="s">
        <v>9</v>
      </c>
      <c r="N14" s="34"/>
      <c r="O14" s="10" t="s">
        <v>10</v>
      </c>
      <c r="P14" s="35"/>
      <c r="Q14" s="36"/>
    </row>
    <row r="15" spans="7:19" ht="18" x14ac:dyDescent="0.4">
      <c r="G15" s="37" t="s">
        <v>5</v>
      </c>
      <c r="H15" s="33"/>
      <c r="I15" s="33"/>
      <c r="J15" s="66">
        <v>160</v>
      </c>
      <c r="K15" s="33"/>
      <c r="L15" s="33"/>
      <c r="M15" s="66">
        <v>20</v>
      </c>
      <c r="N15" s="33"/>
      <c r="O15" s="55">
        <f>J15*M15</f>
        <v>3200</v>
      </c>
      <c r="P15" s="35"/>
      <c r="Q15" s="36"/>
    </row>
    <row r="16" spans="7:19" ht="18" x14ac:dyDescent="0.4">
      <c r="G16" s="37" t="s">
        <v>7</v>
      </c>
      <c r="H16" s="33"/>
      <c r="I16" s="33"/>
      <c r="J16" s="66">
        <v>20</v>
      </c>
      <c r="K16" s="33"/>
      <c r="L16" s="33"/>
      <c r="M16" s="66">
        <v>40</v>
      </c>
      <c r="N16" s="33"/>
      <c r="O16" s="55">
        <f t="shared" ref="O16:O17" si="0">J16*M16</f>
        <v>800</v>
      </c>
      <c r="P16" s="35"/>
      <c r="Q16" s="36"/>
    </row>
    <row r="17" spans="7:17" ht="18" x14ac:dyDescent="0.4">
      <c r="G17" s="37" t="s">
        <v>6</v>
      </c>
      <c r="H17" s="33"/>
      <c r="I17" s="33"/>
      <c r="J17" s="66">
        <v>5</v>
      </c>
      <c r="K17" s="33"/>
      <c r="L17" s="33"/>
      <c r="M17" s="66">
        <v>30</v>
      </c>
      <c r="N17" s="33"/>
      <c r="O17" s="55">
        <f t="shared" si="0"/>
        <v>150</v>
      </c>
      <c r="P17" s="35"/>
      <c r="Q17" s="36"/>
    </row>
    <row r="18" spans="7:17" ht="18" x14ac:dyDescent="0.4">
      <c r="G18" s="38"/>
      <c r="H18" s="33"/>
      <c r="I18" s="33"/>
      <c r="J18" s="39"/>
      <c r="K18" s="33"/>
      <c r="L18" s="33"/>
      <c r="M18" s="39"/>
      <c r="N18" s="8" t="s">
        <v>16</v>
      </c>
      <c r="O18" s="56">
        <f>SUM(O15:O17)</f>
        <v>4150</v>
      </c>
      <c r="P18" s="35"/>
      <c r="Q18" s="36"/>
    </row>
    <row r="19" spans="7:17" ht="18" hidden="1" x14ac:dyDescent="0.4">
      <c r="G19" s="40"/>
      <c r="H19" s="41"/>
      <c r="I19" s="41"/>
      <c r="J19" s="41"/>
      <c r="K19" s="41"/>
      <c r="L19" s="41"/>
      <c r="M19" s="41"/>
      <c r="N19" s="41"/>
      <c r="O19" s="41"/>
      <c r="P19" s="41"/>
      <c r="Q19" s="42"/>
    </row>
    <row r="20" spans="7:17" ht="20" x14ac:dyDescent="0.4">
      <c r="G20" s="29" t="s">
        <v>11</v>
      </c>
      <c r="H20" s="30"/>
      <c r="I20" s="30"/>
      <c r="J20" s="30"/>
      <c r="K20" s="30"/>
      <c r="L20" s="30"/>
      <c r="M20" s="30"/>
      <c r="N20" s="30"/>
      <c r="O20" s="30"/>
      <c r="P20" s="30"/>
      <c r="Q20" s="31"/>
    </row>
    <row r="21" spans="7:17" ht="18" x14ac:dyDescent="0.4">
      <c r="G21" s="40" t="s">
        <v>12</v>
      </c>
      <c r="H21" s="43"/>
      <c r="I21" s="43"/>
      <c r="J21" s="43"/>
      <c r="K21" s="43"/>
      <c r="L21" s="43"/>
      <c r="M21" s="43"/>
      <c r="N21" s="43"/>
      <c r="O21" s="55">
        <f>0.4*O18</f>
        <v>1660</v>
      </c>
      <c r="P21" s="35"/>
      <c r="Q21" s="36"/>
    </row>
    <row r="22" spans="7:17" ht="18" x14ac:dyDescent="0.4">
      <c r="G22" s="40" t="s">
        <v>13</v>
      </c>
      <c r="H22" s="43"/>
      <c r="I22" s="43"/>
      <c r="J22" s="43"/>
      <c r="K22" s="43"/>
      <c r="L22" s="43"/>
      <c r="M22" s="43"/>
      <c r="N22" s="43"/>
      <c r="O22" s="55">
        <f>0.01*O18</f>
        <v>41.5</v>
      </c>
      <c r="P22" s="35"/>
      <c r="Q22" s="36"/>
    </row>
    <row r="23" spans="7:17" ht="18" x14ac:dyDescent="0.4">
      <c r="G23" s="40" t="s">
        <v>14</v>
      </c>
      <c r="H23" s="43"/>
      <c r="I23" s="43"/>
      <c r="J23" s="43"/>
      <c r="K23" s="43"/>
      <c r="L23" s="43"/>
      <c r="M23" s="43"/>
      <c r="N23" s="43"/>
      <c r="O23" s="55">
        <f>0.03*O18</f>
        <v>124.5</v>
      </c>
      <c r="P23" s="35"/>
      <c r="Q23" s="36"/>
    </row>
    <row r="24" spans="7:17" ht="18.5" thickBot="1" x14ac:dyDescent="0.45">
      <c r="G24" s="40" t="s">
        <v>15</v>
      </c>
      <c r="H24" s="43"/>
      <c r="I24" s="43"/>
      <c r="J24" s="43"/>
      <c r="K24" s="43"/>
      <c r="L24" s="43"/>
      <c r="M24" s="43"/>
      <c r="N24" s="43"/>
      <c r="O24" s="55">
        <f>0.06*O18</f>
        <v>249</v>
      </c>
      <c r="P24" s="35"/>
      <c r="Q24" s="36"/>
    </row>
    <row r="25" spans="7:17" ht="18.5" thickBot="1" x14ac:dyDescent="0.45">
      <c r="G25" s="44"/>
      <c r="H25" s="43"/>
      <c r="I25" s="43"/>
      <c r="J25" s="43"/>
      <c r="K25" s="43"/>
      <c r="L25" s="43"/>
      <c r="M25" s="43"/>
      <c r="N25" s="7" t="s">
        <v>17</v>
      </c>
      <c r="O25" s="57">
        <f>SUM(O21:O24)</f>
        <v>2075</v>
      </c>
      <c r="P25" s="35"/>
      <c r="Q25" s="36"/>
    </row>
    <row r="26" spans="7:17" hidden="1" x14ac:dyDescent="0.35">
      <c r="G26" s="45"/>
      <c r="H26" s="41"/>
      <c r="I26" s="41"/>
      <c r="J26" s="41"/>
      <c r="K26" s="41"/>
      <c r="L26" s="41"/>
      <c r="M26" s="41"/>
      <c r="N26" s="41"/>
      <c r="O26" s="41"/>
      <c r="P26" s="41"/>
      <c r="Q26" s="42"/>
    </row>
    <row r="27" spans="7:17" ht="17.5" x14ac:dyDescent="0.35">
      <c r="G27" s="61" t="s">
        <v>21</v>
      </c>
      <c r="H27" s="46"/>
      <c r="I27" s="46"/>
      <c r="J27" s="46"/>
      <c r="K27" s="46"/>
      <c r="L27" s="46"/>
      <c r="M27" s="46"/>
      <c r="N27" s="46"/>
      <c r="O27" s="58">
        <f>O18-O25</f>
        <v>2075</v>
      </c>
      <c r="P27" s="46"/>
      <c r="Q27" s="47"/>
    </row>
    <row r="28" spans="7:17" ht="45.5" customHeight="1" x14ac:dyDescent="0.35">
      <c r="G28" s="48" t="s">
        <v>18</v>
      </c>
      <c r="H28" s="14"/>
      <c r="I28" s="14"/>
      <c r="J28" s="14"/>
      <c r="K28" s="14"/>
      <c r="L28" s="14"/>
      <c r="M28" s="14"/>
      <c r="N28" s="5" t="s">
        <v>19</v>
      </c>
      <c r="O28" s="14"/>
      <c r="P28" s="14"/>
      <c r="Q28" s="49"/>
    </row>
    <row r="29" spans="7:17" x14ac:dyDescent="0.35">
      <c r="G29" s="48"/>
      <c r="H29" s="14"/>
      <c r="I29" s="14"/>
      <c r="J29" s="14"/>
      <c r="K29" s="14"/>
      <c r="L29" s="14"/>
      <c r="M29" s="14"/>
      <c r="N29" s="5"/>
      <c r="O29" s="14"/>
      <c r="P29" s="14"/>
      <c r="Q29" s="49"/>
    </row>
    <row r="30" spans="7:17" x14ac:dyDescent="0.35">
      <c r="G30" s="48"/>
      <c r="H30" s="14"/>
      <c r="I30" s="14"/>
      <c r="J30" s="14"/>
      <c r="K30" s="14"/>
      <c r="L30" s="14"/>
      <c r="M30" s="14"/>
      <c r="N30" s="5"/>
      <c r="O30" s="14"/>
      <c r="P30" s="14"/>
      <c r="Q30" s="49"/>
    </row>
    <row r="31" spans="7:17" x14ac:dyDescent="0.35">
      <c r="G31" s="50"/>
      <c r="H31" s="4"/>
      <c r="I31" s="4"/>
      <c r="J31" s="4"/>
      <c r="K31" s="4"/>
      <c r="L31" s="4"/>
      <c r="M31" s="4"/>
      <c r="N31" s="4"/>
      <c r="O31" s="4"/>
      <c r="P31" s="4"/>
      <c r="Q31" s="51"/>
    </row>
    <row r="32" spans="7:17" ht="15" thickBot="1" x14ac:dyDescent="0.4">
      <c r="G32" s="52"/>
      <c r="H32" s="53"/>
      <c r="I32" s="53"/>
      <c r="J32" s="53"/>
      <c r="K32" s="53"/>
      <c r="L32" s="53"/>
      <c r="M32" s="53"/>
      <c r="N32" s="53"/>
      <c r="O32" s="53"/>
      <c r="P32" s="53"/>
      <c r="Q32" s="54"/>
    </row>
    <row r="33" spans="7:14" x14ac:dyDescent="0.35">
      <c r="G33" s="1"/>
      <c r="N33" s="2"/>
    </row>
  </sheetData>
  <mergeCells count="14">
    <mergeCell ref="G31:Q32"/>
    <mergeCell ref="G20:Q20"/>
    <mergeCell ref="O9:P9"/>
    <mergeCell ref="O11:P11"/>
    <mergeCell ref="H9:M9"/>
    <mergeCell ref="H11:M11"/>
    <mergeCell ref="G13:Q13"/>
    <mergeCell ref="G27:N27"/>
    <mergeCell ref="P27:Q27"/>
    <mergeCell ref="H28:M30"/>
    <mergeCell ref="G28:G30"/>
    <mergeCell ref="N28:N30"/>
    <mergeCell ref="O28:Q30"/>
    <mergeCell ref="H5:N7"/>
  </mergeCells>
  <pageMargins left="0.70866141732283472" right="0.70866141732283472" top="0.74803149606299213" bottom="0.74803149606299213" header="0.31496062992125984" footer="0.31496062992125984"/>
  <pageSetup paperSize="1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PayslipToPDF_Revised">
                <anchor moveWithCells="1" sizeWithCells="1">
                  <from>
                    <xdr:col>9</xdr:col>
                    <xdr:colOff>177800</xdr:colOff>
                    <xdr:row>30</xdr:row>
                    <xdr:rowOff>44450</xdr:rowOff>
                  </from>
                  <to>
                    <xdr:col>13</xdr:col>
                    <xdr:colOff>1206500</xdr:colOff>
                    <xdr:row>31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4C70EE-ABFD-4A69-A5DD-29C21BF8C4D1}">
          <x14:formula1>
            <xm:f>Employees!$E$5:$E$17</xm:f>
          </x14:formula1>
          <xm:sqref>H9:M9</xm:sqref>
        </x14:dataValidation>
        <x14:dataValidation type="list" allowBlank="1" showInputMessage="1" showErrorMessage="1" xr:uid="{94E69686-8B23-4A47-8801-6154C9D96529}">
          <x14:formula1>
            <xm:f>Employees!$F$5:$F$17</xm:f>
          </x14:formula1>
          <xm:sqref>H11:M11</xm:sqref>
        </x14:dataValidation>
        <x14:dataValidation type="list" allowBlank="1" showInputMessage="1" showErrorMessage="1" xr:uid="{7ABAEFB9-61DA-4309-A0F5-F188EF137708}">
          <x14:formula1>
            <xm:f>Employees!$G$5:$G$17</xm:f>
          </x14:formula1>
          <xm:sqref>O9:P9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0CD4B-15C1-4E38-A945-52BC0D33F6CF}">
  <sheetPr codeName="Sheet2"/>
  <dimension ref="E4:G17"/>
  <sheetViews>
    <sheetView zoomScale="99" zoomScaleNormal="99" workbookViewId="0">
      <selection activeCell="E9" sqref="E9"/>
    </sheetView>
  </sheetViews>
  <sheetFormatPr defaultRowHeight="14.5" x14ac:dyDescent="0.35"/>
  <cols>
    <col min="5" max="5" width="26.54296875" customWidth="1"/>
    <col min="6" max="6" width="22.1796875" customWidth="1"/>
    <col min="7" max="7" width="24.08984375" customWidth="1"/>
  </cols>
  <sheetData>
    <row r="4" spans="5:7" ht="17.5" x14ac:dyDescent="0.35">
      <c r="E4" s="63" t="s">
        <v>22</v>
      </c>
      <c r="F4" s="63" t="s">
        <v>1</v>
      </c>
      <c r="G4" s="63" t="s">
        <v>2</v>
      </c>
    </row>
    <row r="5" spans="5:7" ht="15.5" x14ac:dyDescent="0.35">
      <c r="E5" s="62" t="s">
        <v>23</v>
      </c>
      <c r="F5" s="62" t="s">
        <v>36</v>
      </c>
      <c r="G5" s="62" t="s">
        <v>37</v>
      </c>
    </row>
    <row r="6" spans="5:7" ht="15.5" x14ac:dyDescent="0.35">
      <c r="E6" s="62" t="s">
        <v>24</v>
      </c>
      <c r="F6" s="62" t="s">
        <v>38</v>
      </c>
      <c r="G6" s="62" t="s">
        <v>39</v>
      </c>
    </row>
    <row r="7" spans="5:7" ht="15.5" x14ac:dyDescent="0.35">
      <c r="E7" s="62" t="s">
        <v>25</v>
      </c>
      <c r="F7" s="62" t="s">
        <v>40</v>
      </c>
      <c r="G7" s="62" t="s">
        <v>41</v>
      </c>
    </row>
    <row r="8" spans="5:7" ht="15.5" x14ac:dyDescent="0.35">
      <c r="E8" s="62" t="s">
        <v>26</v>
      </c>
      <c r="F8" s="62" t="s">
        <v>42</v>
      </c>
      <c r="G8" s="62" t="s">
        <v>37</v>
      </c>
    </row>
    <row r="9" spans="5:7" ht="15.5" x14ac:dyDescent="0.35">
      <c r="E9" s="62" t="s">
        <v>27</v>
      </c>
      <c r="F9" s="62" t="s">
        <v>43</v>
      </c>
      <c r="G9" s="62" t="s">
        <v>44</v>
      </c>
    </row>
    <row r="10" spans="5:7" ht="15.5" x14ac:dyDescent="0.35">
      <c r="E10" s="62" t="s">
        <v>28</v>
      </c>
      <c r="F10" s="62" t="s">
        <v>45</v>
      </c>
      <c r="G10" s="62" t="s">
        <v>44</v>
      </c>
    </row>
    <row r="11" spans="5:7" ht="15.5" x14ac:dyDescent="0.35">
      <c r="E11" s="62" t="s">
        <v>29</v>
      </c>
      <c r="F11" s="62" t="s">
        <v>46</v>
      </c>
      <c r="G11" s="62" t="s">
        <v>41</v>
      </c>
    </row>
    <row r="12" spans="5:7" ht="15.5" x14ac:dyDescent="0.35">
      <c r="E12" s="62" t="s">
        <v>30</v>
      </c>
      <c r="F12" s="62" t="s">
        <v>47</v>
      </c>
      <c r="G12" s="62" t="s">
        <v>39</v>
      </c>
    </row>
    <row r="13" spans="5:7" ht="15.5" x14ac:dyDescent="0.35">
      <c r="E13" s="62" t="s">
        <v>31</v>
      </c>
      <c r="F13" s="62" t="s">
        <v>48</v>
      </c>
      <c r="G13" s="62" t="s">
        <v>49</v>
      </c>
    </row>
    <row r="14" spans="5:7" ht="15.5" x14ac:dyDescent="0.35">
      <c r="E14" s="62" t="s">
        <v>32</v>
      </c>
      <c r="F14" s="62" t="s">
        <v>50</v>
      </c>
      <c r="G14" s="62" t="s">
        <v>49</v>
      </c>
    </row>
    <row r="15" spans="5:7" ht="15.5" x14ac:dyDescent="0.35">
      <c r="E15" s="62" t="s">
        <v>33</v>
      </c>
      <c r="F15" s="62" t="s">
        <v>51</v>
      </c>
      <c r="G15" s="62" t="s">
        <v>37</v>
      </c>
    </row>
    <row r="16" spans="5:7" ht="15.5" x14ac:dyDescent="0.35">
      <c r="E16" s="62" t="s">
        <v>34</v>
      </c>
      <c r="F16" s="62" t="s">
        <v>52</v>
      </c>
      <c r="G16" s="62" t="s">
        <v>44</v>
      </c>
    </row>
    <row r="17" spans="5:7" ht="15.5" x14ac:dyDescent="0.35">
      <c r="E17" s="62" t="s">
        <v>35</v>
      </c>
      <c r="F17" s="62" t="s">
        <v>53</v>
      </c>
      <c r="G17" s="62" t="s">
        <v>44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Payroll</vt:lpstr>
      <vt:lpstr>Employees</vt:lpstr>
      <vt:lpstr>Payroll!Print_Area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Sigalla William</dc:creator>
  <cp:lastModifiedBy>Sigalla William</cp:lastModifiedBy>
  <cp:lastPrinted>2025-08-22T13:36:56Z</cp:lastPrinted>
  <dcterms:created xsi:type="dcterms:W3CDTF">2025-08-20T16:48:27Z</dcterms:created>
  <dcterms:modified xsi:type="dcterms:W3CDTF">2025-08-22T13:44:55Z</dcterms:modified>
</cp:coreProperties>
</file>