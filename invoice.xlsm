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34" codeName="{4D1C537B-E38A-612A-F078-A93A15B4B7F4}"/>
  <workbookPr filterPrivacy="1" codeName="ThisWorkbook"/>
  <xr:revisionPtr revIDLastSave="0" documentId="13_ncr:1_{3EB46E9C-EE6F-4D79-8E48-718DD33A4660}" xr6:coauthVersionLast="47" xr6:coauthVersionMax="47" xr10:uidLastSave="{00000000-0000-0000-0000-000000000000}"/>
  <bookViews>
    <workbookView xWindow="-110" yWindow="-110" windowWidth="19420" windowHeight="12420" xr2:uid="{00000000-000D-0000-FFFF-FFFF00000000}"/>
  </bookViews>
  <sheets>
    <sheet name="Invoice" sheetId="1" r:id="rId1"/>
    <sheet name="Customers" sheetId="2" r:id="rId2"/>
  </sheets>
  <definedNames>
    <definedName name="_xlnm.Print_Area" localSheetId="0">Invoice!$A$1:$H$31</definedName>
    <definedName name="_xlnm.Print_Titles" localSheetId="0">Invoice!$13:$13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G9" i="1" l="1"/>
  <c r="G11" i="1"/>
  <c r="G10" i="1"/>
  <c r="G8" i="1"/>
  <c r="B28" i="1"/>
  <c r="G14" i="1"/>
  <c r="G15" i="1"/>
  <c r="G16" i="1"/>
  <c r="G17" i="1"/>
  <c r="G18" i="1"/>
  <c r="G19" i="1"/>
  <c r="G20" i="1"/>
  <c r="G21" i="1"/>
  <c r="G4" i="1" l="1"/>
  <c r="G26" i="1" l="1"/>
  <c r="G22" i="1" l="1"/>
  <c r="G24" i="1" l="1"/>
</calcChain>
</file>

<file path=xl/sharedStrings.xml><?xml version="1.0" encoding="utf-8"?>
<sst xmlns="http://schemas.openxmlformats.org/spreadsheetml/2006/main" count="70" uniqueCount="68">
  <si>
    <t>TOTAL</t>
  </si>
  <si>
    <t>Description</t>
  </si>
  <si>
    <t>Deposit Received</t>
  </si>
  <si>
    <t>Invoice Subtotal</t>
  </si>
  <si>
    <t>Tax Rate</t>
  </si>
  <si>
    <t>Sales Tax</t>
  </si>
  <si>
    <t>Qty</t>
  </si>
  <si>
    <t>Price</t>
  </si>
  <si>
    <t>Discount</t>
  </si>
  <si>
    <t>Item #</t>
  </si>
  <si>
    <t>345 W Main</t>
  </si>
  <si>
    <t>Los Angeles, CA 14151</t>
  </si>
  <si>
    <t>P: 915-555-0195</t>
  </si>
  <si>
    <t>F: 915-555-0105</t>
  </si>
  <si>
    <t>Unit price</t>
  </si>
  <si>
    <t>Total due in 90 days. Overdue accounts subject to a service charge of 1.5% per month.</t>
  </si>
  <si>
    <t>INVOICE</t>
  </si>
  <si>
    <t xml:space="preserve"> </t>
  </si>
  <si>
    <t>Bill to:</t>
  </si>
  <si>
    <t>Address:</t>
  </si>
  <si>
    <t>Phone:</t>
  </si>
  <si>
    <t>Wedding florals</t>
  </si>
  <si>
    <t>Invoice #:</t>
  </si>
  <si>
    <t>Invoice date:</t>
  </si>
  <si>
    <t>Job:</t>
  </si>
  <si>
    <t>CLIENTS</t>
  </si>
  <si>
    <t>Company</t>
  </si>
  <si>
    <t>Address</t>
  </si>
  <si>
    <t>Email</t>
  </si>
  <si>
    <t>ABC Index</t>
  </si>
  <si>
    <t>24 Holmes street</t>
  </si>
  <si>
    <t>ain@abc.com</t>
  </si>
  <si>
    <t>XYX Inc</t>
  </si>
  <si>
    <t>12 Avenue Corner</t>
  </si>
  <si>
    <t>xy@abc.com</t>
  </si>
  <si>
    <t>Sato Incorporated</t>
  </si>
  <si>
    <t>Melrose 14th st UK</t>
  </si>
  <si>
    <t>sa@abc.com</t>
  </si>
  <si>
    <t>Prep Entity</t>
  </si>
  <si>
    <t>Blk 5 Sadi</t>
  </si>
  <si>
    <t>prep@abc.com</t>
  </si>
  <si>
    <t>Proprietor</t>
  </si>
  <si>
    <t>Adams Sandley</t>
  </si>
  <si>
    <t>Cindy Sparks</t>
  </si>
  <si>
    <t>Jojo Lele</t>
  </si>
  <si>
    <t>Curtis Jackson</t>
  </si>
  <si>
    <t>Phone</t>
  </si>
  <si>
    <t>A234</t>
  </si>
  <si>
    <t>G456</t>
  </si>
  <si>
    <t>R435</t>
  </si>
  <si>
    <t>Pipes</t>
  </si>
  <si>
    <t>Zinc</t>
  </si>
  <si>
    <t>Nails</t>
  </si>
  <si>
    <t>E456</t>
  </si>
  <si>
    <t>Rubber</t>
  </si>
  <si>
    <t>D561</t>
  </si>
  <si>
    <t>C467</t>
  </si>
  <si>
    <t>V675</t>
  </si>
  <si>
    <t>Wood</t>
  </si>
  <si>
    <t>Drills</t>
  </si>
  <si>
    <t>Van</t>
  </si>
  <si>
    <t>Company:</t>
  </si>
  <si>
    <t>T456</t>
  </si>
  <si>
    <t>Wheels</t>
  </si>
  <si>
    <t>PREP-CLASS</t>
  </si>
  <si>
    <t>ENTERPRISE</t>
  </si>
  <si>
    <t>prepclass@prep.com</t>
  </si>
  <si>
    <t xml:space="preserve">prepclass@prep.com | www.prepclasscm.com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</si>
</sst>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_(&quot;$&quot;* #,##0.00_);_(&quot;$&quot;* \(#,##0.00\);_(&quot;$&quot;* &quot;-&quot;??_);_(@_)"/>
    <numFmt numFmtId="165" formatCode="@\ \ "/>
    <numFmt numFmtId="166" formatCode="#_)"/>
    <numFmt numFmtId="167" formatCode="[&lt;=9999999]###\-####;\(###\)\ ###\-####"/>
    <numFmt numFmtId="168" formatCode="&quot;$&quot;#,##0.00"/>
  </numFmts>
  <fonts count="32" x14ac:knownFonts="1">
    <font>
      <sz val="11"/>
      <color theme="2" tint="-0.749961851863155"/>
      <name val="Garamond"/>
      <family val="2"/>
      <scheme val="minor"/>
    </font>
    <font>
      <b/>
      <sz val="10"/>
      <name val="Arial"/>
      <family val="2"/>
    </font>
    <font>
      <sz val="14"/>
      <color theme="4" tint="-0.24994659260841701"/>
      <name val="Garamond"/>
      <family val="2"/>
      <scheme val="minor"/>
    </font>
    <font>
      <b/>
      <sz val="25"/>
      <color theme="0"/>
      <name val="Tw Cen MT"/>
      <family val="2"/>
      <scheme val="major"/>
    </font>
    <font>
      <sz val="11"/>
      <color theme="2" tint="-0.89996032593768116"/>
      <name val="Garamond"/>
      <family val="2"/>
      <scheme val="minor"/>
    </font>
    <font>
      <b/>
      <sz val="11"/>
      <color theme="1"/>
      <name val="Garamond"/>
      <family val="2"/>
      <scheme val="minor"/>
    </font>
    <font>
      <sz val="11"/>
      <color theme="5" tint="-0.24994659260841701"/>
      <name val="Garamond"/>
      <family val="2"/>
      <scheme val="minor"/>
    </font>
    <font>
      <sz val="11"/>
      <color theme="2" tint="-0.89989928891872917"/>
      <name val="Garamond"/>
      <family val="2"/>
      <scheme val="minor"/>
    </font>
    <font>
      <sz val="11"/>
      <color theme="2" tint="-0.749992370372631"/>
      <name val="Garamond"/>
      <family val="2"/>
      <scheme val="minor"/>
    </font>
    <font>
      <sz val="11"/>
      <color theme="4" tint="-0.499984740745262"/>
      <name val="Tw Cen MT"/>
      <family val="2"/>
      <scheme val="major"/>
    </font>
    <font>
      <sz val="11"/>
      <color theme="2" tint="-0.749961851863155"/>
      <name val="Garamond"/>
      <family val="2"/>
      <scheme val="minor"/>
    </font>
    <font>
      <sz val="11"/>
      <color theme="3"/>
      <name val="Garamond"/>
      <family val="2"/>
      <scheme val="minor"/>
    </font>
    <font>
      <sz val="11"/>
      <name val="Garamond"/>
      <family val="2"/>
      <scheme val="minor"/>
    </font>
    <font>
      <sz val="11"/>
      <color theme="4" tint="-0.499984740745262"/>
      <name val="Garamond"/>
      <family val="2"/>
      <scheme val="minor"/>
    </font>
    <font>
      <sz val="12"/>
      <color theme="2" tint="-0.749961851863155"/>
      <name val="Garamond"/>
      <family val="1"/>
      <scheme val="minor"/>
    </font>
    <font>
      <sz val="36"/>
      <color theme="1"/>
      <name val="Garamond"/>
      <family val="1"/>
      <scheme val="minor"/>
    </font>
    <font>
      <b/>
      <sz val="12"/>
      <color theme="1"/>
      <name val="Garamond"/>
      <family val="1"/>
      <scheme val="minor"/>
    </font>
    <font>
      <b/>
      <sz val="48"/>
      <color theme="1"/>
      <name val="Garamond"/>
      <family val="1"/>
      <scheme val="minor"/>
    </font>
    <font>
      <b/>
      <sz val="12"/>
      <color theme="0"/>
      <name val="Garamond"/>
      <family val="1"/>
      <scheme val="minor"/>
    </font>
    <font>
      <sz val="12"/>
      <color theme="2" tint="-0.89996032593768116"/>
      <name val="Garamond"/>
      <family val="1"/>
      <scheme val="minor"/>
    </font>
    <font>
      <sz val="36"/>
      <color theme="2" tint="-0.89996032593768116"/>
      <name val="Garamond"/>
      <family val="1"/>
      <scheme val="minor"/>
    </font>
    <font>
      <sz val="12"/>
      <color theme="1"/>
      <name val="Garamond"/>
      <family val="1"/>
      <scheme val="minor"/>
    </font>
    <font>
      <sz val="12"/>
      <name val="Garamond"/>
      <family val="1"/>
      <scheme val="minor"/>
    </font>
    <font>
      <b/>
      <sz val="48"/>
      <color theme="1"/>
      <name val="Tw Cen MT"/>
      <family val="2"/>
      <scheme val="major"/>
    </font>
    <font>
      <b/>
      <sz val="36"/>
      <color theme="1"/>
      <name val="Tw Cen MT"/>
      <family val="2"/>
      <scheme val="major"/>
    </font>
    <font>
      <b/>
      <sz val="36"/>
      <color theme="2" tint="-0.89996032593768116"/>
      <name val="Tw Cen MT"/>
      <family val="2"/>
      <scheme val="major"/>
    </font>
    <font>
      <sz val="12"/>
      <color theme="2" tint="-0.749961851863155"/>
      <name val="Garamond"/>
      <family val="2"/>
      <scheme val="minor"/>
    </font>
    <font>
      <b/>
      <sz val="22"/>
      <color theme="2" tint="-0.749961851863155"/>
      <name val="Times New Roman"/>
      <family val="1"/>
    </font>
    <font>
      <sz val="11"/>
      <color theme="2" tint="-0.749961851863155"/>
      <name val="Times New Roman"/>
      <family val="1"/>
    </font>
    <font>
      <b/>
      <sz val="12"/>
      <color theme="2" tint="-0.749961851863155"/>
      <name val="Times New Roman"/>
      <family val="1"/>
    </font>
    <font>
      <b/>
      <sz val="12"/>
      <color theme="2" tint="-0.749961851863155"/>
      <name val="Garamond"/>
      <family val="2"/>
      <scheme val="minor"/>
    </font>
    <font>
      <sz val="11"/>
      <color rgb="FF3A3838"/>
      <name val="Garamond"/>
      <family val="1"/>
    </font>
  </fonts>
  <fills count="7">
    <fill>
      <patternFill patternType="none"/>
    </fill>
    <fill>
      <patternFill patternType="gray125"/>
    </fill>
    <fill>
      <patternFill patternType="solid">
        <fgColor theme="4" tint="0.39997558519241921"/>
        <bgColor indexed="65"/>
      </patternFill>
    </fill>
    <fill>
      <patternFill patternType="solid">
        <fgColor theme="4" tint="-0.24994659260841701"/>
        <bgColor indexed="64"/>
      </patternFill>
    </fill>
    <fill>
      <patternFill patternType="solid">
        <fgColor theme="4" tint="0.79998168889431442"/>
        <bgColor indexed="65"/>
      </patternFill>
    </fill>
    <fill>
      <patternFill patternType="solid">
        <fgColor theme="4" tint="0.79998168889431442"/>
        <bgColor indexed="64"/>
      </patternFill>
    </fill>
    <fill>
      <patternFill patternType="solid">
        <fgColor theme="3"/>
        <bgColor indexed="64"/>
      </patternFill>
    </fill>
  </fills>
  <borders count="4">
    <border>
      <left/>
      <right/>
      <top/>
      <bottom/>
      <diagonal/>
    </border>
    <border>
      <left style="thin">
        <color theme="4"/>
      </left>
      <right style="thin">
        <color theme="4"/>
      </right>
      <top style="thin">
        <color theme="4"/>
      </top>
      <bottom style="thin">
        <color theme="4"/>
      </bottom>
      <diagonal/>
    </border>
    <border>
      <left/>
      <right/>
      <top/>
      <bottom style="thick">
        <color theme="4" tint="0.59996337778862885"/>
      </bottom>
      <diagonal/>
    </border>
    <border>
      <left style="thin">
        <color theme="2" tint="-0.89996032593768116"/>
      </left>
      <right style="thin">
        <color theme="2" tint="-0.89996032593768116"/>
      </right>
      <top style="thin">
        <color theme="2" tint="-0.89996032593768116"/>
      </top>
      <bottom style="thin">
        <color theme="2" tint="-0.89996032593768116"/>
      </bottom>
      <diagonal/>
    </border>
  </borders>
  <cellStyleXfs count="19">
    <xf numFmtId="0" fontId="0" fillId="0" borderId="0" applyFill="0" applyBorder="0">
      <alignment horizontal="left" vertical="center" wrapText="1" indent="1"/>
    </xf>
    <xf numFmtId="0" fontId="4" fillId="0" borderId="0" applyNumberFormat="0" applyFill="0" applyBorder="0" applyAlignment="0" applyProtection="0"/>
    <xf numFmtId="0" fontId="9" fillId="0" borderId="0" applyNumberFormat="0" applyFill="0" applyBorder="0" applyProtection="0">
      <alignment vertical="center"/>
    </xf>
    <xf numFmtId="0" fontId="2" fillId="0" borderId="0" applyNumberFormat="0" applyFill="0" applyBorder="0" applyProtection="0">
      <alignment horizontal="left" vertical="center" indent="1"/>
    </xf>
    <xf numFmtId="10" fontId="11" fillId="0" borderId="0" applyFill="0" applyBorder="0" applyProtection="0">
      <alignment horizontal="right" vertical="center"/>
    </xf>
    <xf numFmtId="0" fontId="4" fillId="0" borderId="0" applyNumberFormat="0" applyFill="0" applyBorder="0" applyAlignment="0" applyProtection="0">
      <alignment vertical="top" wrapText="1"/>
    </xf>
    <xf numFmtId="0" fontId="3" fillId="3" borderId="2" applyProtection="0">
      <alignment vertical="center"/>
    </xf>
    <xf numFmtId="0" fontId="4" fillId="2" borderId="0" applyNumberFormat="0" applyBorder="0" applyProtection="0">
      <alignment vertical="center" wrapText="1"/>
    </xf>
    <xf numFmtId="0" fontId="12" fillId="0" borderId="1" applyFill="0" applyProtection="0">
      <alignment horizontal="right" vertical="center" indent="1"/>
    </xf>
    <xf numFmtId="0" fontId="6" fillId="0" borderId="0" applyNumberFormat="0" applyFill="0" applyBorder="0" applyAlignment="0" applyProtection="0"/>
    <xf numFmtId="0" fontId="7" fillId="0" borderId="0" applyNumberFormat="0" applyFill="0" applyBorder="0" applyAlignment="0" applyProtection="0"/>
    <xf numFmtId="0" fontId="5" fillId="0" borderId="1" applyNumberFormat="0" applyAlignment="0" applyProtection="0"/>
    <xf numFmtId="0" fontId="4" fillId="5" borderId="0" applyBorder="0" applyProtection="0">
      <alignment horizontal="left" indent="1"/>
    </xf>
    <xf numFmtId="164" fontId="10" fillId="0" borderId="0" applyFont="0" applyFill="0" applyBorder="0" applyProtection="0">
      <alignment horizontal="right" vertical="center"/>
    </xf>
    <xf numFmtId="164" fontId="11" fillId="0" borderId="0" applyFill="0" applyBorder="0" applyProtection="0">
      <alignment horizontal="right" vertical="center"/>
    </xf>
    <xf numFmtId="0" fontId="13" fillId="4" borderId="0" applyNumberFormat="0" applyBorder="0" applyProtection="0">
      <alignment horizontal="left" vertical="top" wrapText="1" indent="1"/>
    </xf>
    <xf numFmtId="167" fontId="4" fillId="0" borderId="0" applyFont="0" applyFill="0" applyBorder="0" applyAlignment="0">
      <alignment vertical="center"/>
    </xf>
    <xf numFmtId="166" fontId="10" fillId="0" borderId="0" applyFont="0" applyFill="0" applyBorder="0">
      <alignment horizontal="right" vertical="center"/>
    </xf>
    <xf numFmtId="14" fontId="8" fillId="0" borderId="0" applyFont="0" applyFill="0" applyBorder="0" applyAlignment="0" applyProtection="0">
      <alignment horizontal="left" wrapText="1"/>
    </xf>
  </cellStyleXfs>
  <cellXfs count="63">
    <xf numFmtId="0" fontId="0" fillId="0" borderId="0" xfId="0">
      <alignment horizontal="left" vertical="center" wrapText="1" indent="1"/>
    </xf>
    <xf numFmtId="0" fontId="14" fillId="6" borderId="0" xfId="0" applyFont="1" applyFill="1">
      <alignment horizontal="left" vertical="center" wrapText="1" indent="1"/>
    </xf>
    <xf numFmtId="0" fontId="14" fillId="0" borderId="0" xfId="0" applyFont="1">
      <alignment horizontal="left" vertical="center" wrapText="1" indent="1"/>
    </xf>
    <xf numFmtId="0" fontId="15" fillId="6" borderId="0" xfId="6" applyFont="1" applyFill="1" applyBorder="1" applyProtection="1">
      <alignment vertical="center"/>
    </xf>
    <xf numFmtId="0" fontId="16" fillId="6" borderId="0" xfId="6" applyFont="1" applyFill="1" applyBorder="1" applyAlignment="1" applyProtection="1">
      <alignment horizontal="left" vertical="center" indent="2"/>
    </xf>
    <xf numFmtId="0" fontId="17" fillId="6" borderId="0" xfId="6" applyFont="1" applyFill="1" applyBorder="1" applyAlignment="1" applyProtection="1">
      <alignment horizontal="right"/>
    </xf>
    <xf numFmtId="0" fontId="18" fillId="6" borderId="0" xfId="6" applyFont="1" applyFill="1" applyBorder="1" applyAlignment="1" applyProtection="1">
      <alignment vertical="top" wrapText="1"/>
    </xf>
    <xf numFmtId="0" fontId="19" fillId="6" borderId="0" xfId="7" applyFont="1" applyFill="1" applyAlignment="1">
      <alignment vertical="center"/>
    </xf>
    <xf numFmtId="167" fontId="19" fillId="6" borderId="0" xfId="16" applyFont="1" applyFill="1" applyAlignment="1">
      <alignment vertical="center" wrapText="1"/>
    </xf>
    <xf numFmtId="0" fontId="21" fillId="6" borderId="0" xfId="7" applyFont="1" applyFill="1" applyAlignment="1">
      <alignment horizontal="left" vertical="center" wrapText="1"/>
    </xf>
    <xf numFmtId="0" fontId="19" fillId="6" borderId="0" xfId="7" applyFont="1" applyFill="1" applyProtection="1">
      <alignment vertical="center" wrapText="1"/>
    </xf>
    <xf numFmtId="0" fontId="20" fillId="6" borderId="0" xfId="7" applyFont="1" applyFill="1" applyBorder="1">
      <alignment vertical="center" wrapText="1"/>
    </xf>
    <xf numFmtId="167" fontId="19" fillId="6" borderId="0" xfId="16" applyFont="1" applyFill="1" applyBorder="1" applyAlignment="1">
      <alignment vertical="center" wrapText="1"/>
    </xf>
    <xf numFmtId="14" fontId="21" fillId="6" borderId="0" xfId="7" applyNumberFormat="1" applyFont="1" applyFill="1" applyBorder="1" applyAlignment="1">
      <alignment horizontal="left" vertical="center" wrapText="1"/>
    </xf>
    <xf numFmtId="0" fontId="21" fillId="6" borderId="0" xfId="2" applyFont="1" applyFill="1" applyBorder="1" applyProtection="1">
      <alignment vertical="center"/>
    </xf>
    <xf numFmtId="0" fontId="21" fillId="6" borderId="0" xfId="0" applyFont="1" applyFill="1" applyBorder="1">
      <alignment horizontal="left" vertical="center" wrapText="1" indent="1"/>
    </xf>
    <xf numFmtId="0" fontId="14" fillId="6" borderId="0" xfId="0" applyFont="1" applyFill="1" applyBorder="1">
      <alignment horizontal="left" vertical="center" wrapText="1" indent="1"/>
    </xf>
    <xf numFmtId="14" fontId="21" fillId="6" borderId="0" xfId="0" applyNumberFormat="1" applyFont="1" applyFill="1" applyBorder="1" applyAlignment="1">
      <alignment horizontal="left" vertical="center" wrapText="1"/>
    </xf>
    <xf numFmtId="0" fontId="22" fillId="6" borderId="0" xfId="0" applyFont="1" applyFill="1">
      <alignment horizontal="left" vertical="center" wrapText="1" indent="1"/>
    </xf>
    <xf numFmtId="0" fontId="21" fillId="6" borderId="0" xfId="7" applyFont="1" applyFill="1" applyAlignment="1">
      <alignment vertical="center"/>
    </xf>
    <xf numFmtId="0" fontId="21" fillId="6" borderId="0" xfId="7" applyFont="1" applyFill="1">
      <alignment vertical="center" wrapText="1"/>
    </xf>
    <xf numFmtId="0" fontId="21" fillId="6" borderId="0" xfId="2" applyFont="1" applyFill="1" applyAlignment="1" applyProtection="1">
      <alignment horizontal="left" vertical="top" indent="1"/>
    </xf>
    <xf numFmtId="167" fontId="21" fillId="6" borderId="0" xfId="2" applyNumberFormat="1" applyFont="1" applyFill="1">
      <alignment vertical="center"/>
    </xf>
    <xf numFmtId="14" fontId="21" fillId="6" borderId="0" xfId="18" applyFont="1" applyFill="1" applyAlignment="1">
      <alignment vertical="center" wrapText="1"/>
    </xf>
    <xf numFmtId="0" fontId="22" fillId="6" borderId="0" xfId="0" applyFont="1" applyFill="1" applyAlignment="1">
      <alignment wrapText="1"/>
    </xf>
    <xf numFmtId="0" fontId="21" fillId="6" borderId="0" xfId="2" applyFont="1" applyFill="1" applyProtection="1">
      <alignment vertical="center"/>
    </xf>
    <xf numFmtId="0" fontId="21" fillId="6" borderId="0" xfId="0" applyFont="1" applyFill="1" applyAlignment="1">
      <alignment horizontal="left" wrapText="1"/>
    </xf>
    <xf numFmtId="0" fontId="21" fillId="6" borderId="0" xfId="2" applyFont="1" applyFill="1" applyAlignment="1" applyProtection="1">
      <alignment vertical="top"/>
    </xf>
    <xf numFmtId="14" fontId="21" fillId="6" borderId="0" xfId="18" applyFont="1" applyFill="1" applyAlignment="1">
      <alignment vertical="center"/>
    </xf>
    <xf numFmtId="0" fontId="21" fillId="6" borderId="0" xfId="0" applyFont="1" applyFill="1" applyAlignment="1">
      <alignment vertical="center" wrapText="1"/>
    </xf>
    <xf numFmtId="0" fontId="21" fillId="6" borderId="0" xfId="1" applyFont="1" applyFill="1" applyAlignment="1" applyProtection="1">
      <alignment horizontal="left" vertical="top" indent="1"/>
    </xf>
    <xf numFmtId="0" fontId="22" fillId="6" borderId="0" xfId="0" applyFont="1" applyFill="1" applyAlignment="1">
      <alignment vertical="center"/>
    </xf>
    <xf numFmtId="0" fontId="21" fillId="6" borderId="0" xfId="0" applyFont="1" applyFill="1">
      <alignment horizontal="left" vertical="center" wrapText="1" indent="1"/>
    </xf>
    <xf numFmtId="0" fontId="21" fillId="6" borderId="3" xfId="8" applyFont="1" applyFill="1" applyBorder="1">
      <alignment horizontal="right" vertical="center" indent="1"/>
    </xf>
    <xf numFmtId="0" fontId="21" fillId="6" borderId="0" xfId="12" applyFont="1" applyFill="1" applyAlignment="1" applyProtection="1"/>
    <xf numFmtId="0" fontId="21" fillId="6" borderId="0" xfId="12" applyFont="1" applyFill="1" applyBorder="1" applyAlignment="1" applyProtection="1"/>
    <xf numFmtId="0" fontId="21" fillId="6" borderId="0" xfId="15" applyFont="1" applyFill="1" applyAlignment="1">
      <alignment vertical="top" wrapText="1"/>
    </xf>
    <xf numFmtId="0" fontId="21" fillId="6" borderId="0" xfId="15" applyFont="1" applyFill="1" applyBorder="1" applyAlignment="1">
      <alignment vertical="top" wrapText="1"/>
    </xf>
    <xf numFmtId="165" fontId="16" fillId="6" borderId="3" xfId="11" applyNumberFormat="1" applyFont="1" applyFill="1" applyBorder="1" applyAlignment="1" applyProtection="1">
      <alignment horizontal="right" vertical="center"/>
    </xf>
    <xf numFmtId="0" fontId="23" fillId="6" borderId="0" xfId="6" applyFont="1" applyFill="1" applyBorder="1" applyAlignment="1" applyProtection="1">
      <alignment horizontal="right"/>
    </xf>
    <xf numFmtId="0" fontId="16" fillId="6" borderId="0" xfId="1" applyFont="1" applyFill="1" applyAlignment="1">
      <alignment horizontal="right" vertical="center" wrapText="1" indent="2"/>
    </xf>
    <xf numFmtId="0" fontId="16" fillId="6" borderId="0" xfId="1" applyFont="1" applyFill="1" applyBorder="1" applyAlignment="1">
      <alignment horizontal="right" vertical="center" wrapText="1" indent="2"/>
    </xf>
    <xf numFmtId="0" fontId="16" fillId="6" borderId="0" xfId="0" applyFont="1" applyFill="1" applyBorder="1" applyAlignment="1">
      <alignment horizontal="right" vertical="center" wrapText="1" indent="2"/>
    </xf>
    <xf numFmtId="0" fontId="16" fillId="6" borderId="0" xfId="1" applyFont="1" applyFill="1" applyAlignment="1">
      <alignment vertical="center" wrapText="1"/>
    </xf>
    <xf numFmtId="0" fontId="16" fillId="6" borderId="0" xfId="0" applyFont="1" applyFill="1" applyAlignment="1">
      <alignment horizontal="right" indent="2"/>
    </xf>
    <xf numFmtId="0" fontId="16" fillId="6" borderId="0" xfId="0" applyFont="1" applyFill="1" applyAlignment="1">
      <alignment horizontal="right" wrapText="1" indent="2"/>
    </xf>
    <xf numFmtId="168" fontId="21" fillId="6" borderId="3" xfId="13" applyNumberFormat="1" applyFont="1" applyFill="1" applyBorder="1" applyAlignment="1">
      <alignment horizontal="right" vertical="center" indent="1"/>
    </xf>
    <xf numFmtId="10" fontId="21" fillId="6" borderId="3" xfId="4" applyFont="1" applyFill="1" applyBorder="1" applyAlignment="1">
      <alignment horizontal="right" vertical="center" indent="1"/>
    </xf>
    <xf numFmtId="168" fontId="21" fillId="6" borderId="3" xfId="13" applyNumberFormat="1" applyFont="1" applyFill="1" applyBorder="1" applyAlignment="1" applyProtection="1">
      <alignment horizontal="right" vertical="center" indent="1"/>
    </xf>
    <xf numFmtId="0" fontId="28" fillId="0" borderId="0" xfId="0" applyFont="1">
      <alignment horizontal="left" vertical="center" wrapText="1" indent="1"/>
    </xf>
    <xf numFmtId="0" fontId="29" fillId="0" borderId="0" xfId="0" applyFont="1">
      <alignment horizontal="left" vertical="center" wrapText="1" indent="1"/>
    </xf>
    <xf numFmtId="0" fontId="30" fillId="0" borderId="0" xfId="0" applyFont="1" applyAlignment="1">
      <alignment horizontal="left" vertical="center" indent="1"/>
    </xf>
    <xf numFmtId="0" fontId="4" fillId="0" borderId="0" xfId="1" applyAlignment="1">
      <alignment horizontal="left" vertical="center" wrapText="1" indent="1"/>
    </xf>
    <xf numFmtId="0" fontId="4" fillId="6" borderId="0" xfId="1" applyFill="1" applyAlignment="1" applyProtection="1">
      <alignment horizontal="left" vertical="center" indent="1"/>
    </xf>
    <xf numFmtId="0" fontId="26" fillId="6" borderId="0" xfId="0" applyFont="1" applyFill="1" applyBorder="1">
      <alignment horizontal="left" vertical="center" wrapText="1" indent="1"/>
    </xf>
    <xf numFmtId="0" fontId="26" fillId="6" borderId="0" xfId="0" applyFont="1" applyFill="1" applyBorder="1" applyAlignment="1">
      <alignment horizontal="right" vertical="center" wrapText="1" indent="1"/>
    </xf>
    <xf numFmtId="0" fontId="26" fillId="6" borderId="0" xfId="0" applyFont="1" applyFill="1" applyBorder="1" applyAlignment="1">
      <alignment horizontal="center" vertical="center" wrapText="1"/>
    </xf>
    <xf numFmtId="166" fontId="26" fillId="6" borderId="0" xfId="17" applyFont="1" applyFill="1" applyBorder="1" applyAlignment="1">
      <alignment horizontal="center" vertical="center"/>
    </xf>
    <xf numFmtId="168" fontId="26" fillId="6" borderId="0" xfId="13" applyNumberFormat="1" applyFont="1" applyFill="1" applyBorder="1" applyAlignment="1" applyProtection="1">
      <alignment horizontal="center" vertical="center"/>
    </xf>
    <xf numFmtId="0" fontId="24" fillId="6" borderId="0" xfId="6" applyFont="1" applyFill="1" applyBorder="1" applyAlignment="1" applyProtection="1">
      <alignment horizontal="left"/>
    </xf>
    <xf numFmtId="0" fontId="21" fillId="6" borderId="0" xfId="0" applyFont="1" applyFill="1" applyAlignment="1">
      <alignment horizontal="center" vertical="center" wrapText="1"/>
    </xf>
    <xf numFmtId="0" fontId="25" fillId="6" borderId="0" xfId="7" applyFont="1" applyFill="1" applyBorder="1" applyAlignment="1">
      <alignment horizontal="left" vertical="center" wrapText="1"/>
    </xf>
    <xf numFmtId="0" fontId="27" fillId="0" borderId="0" xfId="0" applyFont="1" applyAlignment="1">
      <alignment horizontal="center" vertical="center" wrapText="1"/>
    </xf>
  </cellXfs>
  <cellStyles count="19">
    <cellStyle name="20% - Accent1" xfId="15" builtinId="30" customBuiltin="1"/>
    <cellStyle name="60% - Accent1" xfId="7" builtinId="32" customBuiltin="1"/>
    <cellStyle name="Currency" xfId="13" builtinId="4" customBuiltin="1"/>
    <cellStyle name="Currency [0]" xfId="14" builtinId="7" customBuiltin="1"/>
    <cellStyle name="Date" xfId="18" xr:uid="{00000000-0005-0000-0000-000004000000}"/>
    <cellStyle name="Explanatory Text" xfId="10" builtinId="53" customBuiltin="1"/>
    <cellStyle name="Followed Hyperlink" xfId="5" builtinId="9" customBuiltin="1"/>
    <cellStyle name="Heading 1" xfId="2" builtinId="16" customBuiltin="1"/>
    <cellStyle name="Heading 2" xfId="3" builtinId="17" customBuiltin="1"/>
    <cellStyle name="Heading 3" xfId="8" builtinId="18" customBuiltin="1"/>
    <cellStyle name="Heading 4" xfId="12" builtinId="19" customBuiltin="1"/>
    <cellStyle name="Hyperlink" xfId="1" builtinId="8" customBuiltin="1"/>
    <cellStyle name="Normal" xfId="0" builtinId="0" customBuiltin="1"/>
    <cellStyle name="Percent" xfId="4" builtinId="5" customBuiltin="1"/>
    <cellStyle name="Phone" xfId="16" xr:uid="{00000000-0005-0000-0000-00000E000000}"/>
    <cellStyle name="Quantity" xfId="17" xr:uid="{00000000-0005-0000-0000-00000F000000}"/>
    <cellStyle name="Title" xfId="6" builtinId="15" customBuiltin="1"/>
    <cellStyle name="Total" xfId="11" builtinId="25" customBuiltin="1"/>
    <cellStyle name="Warning Text" xfId="9" builtinId="11" customBuiltin="1"/>
  </cellStyles>
  <dxfs count="14">
    <dxf>
      <alignment horizontal="left" vertical="center" textRotation="0" wrapText="1" indent="1" justifyLastLine="0" shrinkToFit="0" readingOrder="0"/>
    </dxf>
    <dxf>
      <font>
        <b/>
        <i val="0"/>
        <strike val="0"/>
        <condense val="0"/>
        <extend val="0"/>
        <outline val="0"/>
        <shadow val="0"/>
        <u val="none"/>
        <vertAlign val="baseline"/>
        <sz val="12"/>
        <color theme="2" tint="-0.749961851863155"/>
        <name val="Times New Roman"/>
        <family val="1"/>
        <scheme val="none"/>
      </font>
    </dxf>
    <dxf>
      <font>
        <strike val="0"/>
        <outline val="0"/>
        <shadow val="0"/>
        <u val="none"/>
        <vertAlign val="baseline"/>
        <sz val="12"/>
        <color theme="2" tint="-0.749961851863155"/>
        <name val="Garamond"/>
        <family val="2"/>
        <scheme val="minor"/>
      </font>
      <fill>
        <patternFill patternType="solid">
          <fgColor indexed="64"/>
          <bgColor theme="3"/>
        </patternFill>
      </fill>
      <alignment horizontal="center" vertical="center" textRotation="0" indent="0" justifyLastLine="0" shrinkToFit="0" readingOrder="0"/>
    </dxf>
    <dxf>
      <font>
        <strike val="0"/>
        <outline val="0"/>
        <shadow val="0"/>
        <u val="none"/>
        <vertAlign val="baseline"/>
        <sz val="12"/>
        <color theme="2" tint="-0.749961851863155"/>
        <name val="Garamond"/>
        <family val="2"/>
        <scheme val="minor"/>
      </font>
      <fill>
        <patternFill patternType="solid">
          <fgColor indexed="64"/>
          <bgColor theme="3"/>
        </patternFill>
      </fill>
      <alignment horizontal="center" vertical="center" textRotation="0" indent="0" justifyLastLine="0" shrinkToFit="0" readingOrder="0"/>
    </dxf>
    <dxf>
      <font>
        <strike val="0"/>
        <outline val="0"/>
        <shadow val="0"/>
        <u val="none"/>
        <vertAlign val="baseline"/>
        <sz val="12"/>
        <color theme="2" tint="-0.749961851863155"/>
        <name val="Garamond"/>
        <family val="2"/>
        <scheme val="minor"/>
      </font>
      <fill>
        <patternFill patternType="solid">
          <fgColor indexed="64"/>
          <bgColor theme="3"/>
        </patternFill>
      </fill>
      <alignment horizontal="center" vertical="center" textRotation="0" wrapText="0" indent="0" justifyLastLine="0" shrinkToFit="0" readingOrder="0"/>
    </dxf>
    <dxf>
      <font>
        <strike val="0"/>
        <outline val="0"/>
        <shadow val="0"/>
        <u val="none"/>
        <vertAlign val="baseline"/>
        <sz val="12"/>
        <color theme="2" tint="-0.749961851863155"/>
        <name val="Garamond"/>
        <family val="2"/>
        <scheme val="minor"/>
      </font>
      <fill>
        <patternFill patternType="solid">
          <fgColor indexed="64"/>
          <bgColor theme="3"/>
        </patternFill>
      </fill>
      <alignment horizontal="center" vertical="center" textRotation="0" indent="0" justifyLastLine="0" shrinkToFit="0" readingOrder="0"/>
    </dxf>
    <dxf>
      <font>
        <strike val="0"/>
        <outline val="0"/>
        <shadow val="0"/>
        <u val="none"/>
        <vertAlign val="baseline"/>
        <sz val="12"/>
        <color theme="2" tint="-0.749961851863155"/>
        <name val="Garamond"/>
        <family val="2"/>
        <scheme val="minor"/>
      </font>
      <fill>
        <patternFill patternType="solid">
          <fgColor indexed="64"/>
          <bgColor theme="3"/>
        </patternFill>
      </fill>
      <alignment horizontal="center" vertical="center" textRotation="0" indent="0" justifyLastLine="0" shrinkToFit="0" readingOrder="0"/>
    </dxf>
    <dxf>
      <font>
        <strike val="0"/>
        <outline val="0"/>
        <shadow val="0"/>
        <u val="none"/>
        <vertAlign val="baseline"/>
        <sz val="12"/>
        <color theme="2" tint="-0.749961851863155"/>
        <name val="Garamond"/>
        <family val="2"/>
        <scheme val="minor"/>
      </font>
      <fill>
        <patternFill patternType="solid">
          <fgColor indexed="64"/>
          <bgColor theme="3"/>
        </patternFill>
      </fill>
      <alignment horizontal="center" vertical="center" textRotation="0" indent="0" justifyLastLine="0" shrinkToFit="0" readingOrder="0"/>
    </dxf>
    <dxf>
      <font>
        <strike val="0"/>
        <outline val="0"/>
        <shadow val="0"/>
        <u val="none"/>
        <vertAlign val="baseline"/>
        <sz val="12"/>
        <color theme="2" tint="-0.749961851863155"/>
        <name val="Garamond"/>
        <family val="2"/>
        <scheme val="minor"/>
      </font>
      <fill>
        <patternFill patternType="solid">
          <fgColor indexed="64"/>
          <bgColor theme="3"/>
        </patternFill>
      </fill>
      <alignment horizontal="center" vertical="center" textRotation="0" indent="0" justifyLastLine="0" shrinkToFit="0" readingOrder="0"/>
    </dxf>
    <dxf>
      <font>
        <strike val="0"/>
        <outline val="0"/>
        <shadow val="0"/>
        <u val="none"/>
        <vertAlign val="baseline"/>
        <sz val="12"/>
        <color theme="2" tint="-0.749961851863155"/>
        <name val="Garamond"/>
        <family val="2"/>
        <scheme val="minor"/>
      </font>
      <fill>
        <patternFill patternType="solid">
          <fgColor indexed="64"/>
          <bgColor theme="3"/>
        </patternFill>
      </fill>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Invoice" defaultPivotStyle="PivotStyleLight16">
    <tableStyle name="Invoice" pivot="0" count="4" xr9:uid="{00000000-0011-0000-FFFF-FFFF00000000}">
      <tableStyleElement type="wholeTable" dxfId="13"/>
      <tableStyleElement type="headerRow" dxfId="12"/>
      <tableStyleElement type="totalRow" dxfId="11"/>
      <tableStyleElement type="firstColumn" dxfId="10"/>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D8E4E8"/>
      <rgbColor rgb="00CC99FF"/>
      <rgbColor rgb="00EAEAEA"/>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10" Type="http://schemas.microsoft.com/office/2006/relationships/vbaProject" Target="vbaProject.bin"/><Relationship Id="rId4" Type="http://schemas.openxmlformats.org/officeDocument/2006/relationships/styles" Target="styles.xml"/><Relationship Id="rId9"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336551</xdr:colOff>
      <xdr:row>1</xdr:row>
      <xdr:rowOff>191860</xdr:rowOff>
    </xdr:from>
    <xdr:to>
      <xdr:col>1</xdr:col>
      <xdr:colOff>1143000</xdr:colOff>
      <xdr:row>5</xdr:row>
      <xdr:rowOff>146050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36551" y="826860"/>
          <a:ext cx="1327149" cy="1274990"/>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425450</xdr:colOff>
          <xdr:row>1</xdr:row>
          <xdr:rowOff>508000</xdr:rowOff>
        </xdr:from>
        <xdr:to>
          <xdr:col>12</xdr:col>
          <xdr:colOff>203200</xdr:colOff>
          <xdr:row>3</xdr:row>
          <xdr:rowOff>19050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E" sz="1100" b="0" i="0" u="none" strike="noStrike" baseline="0">
                  <a:solidFill>
                    <a:srgbClr val="3A3838"/>
                  </a:solidFill>
                  <a:latin typeface="Garamond"/>
                </a:rPr>
                <a:t>Save as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457200</xdr:colOff>
          <xdr:row>5</xdr:row>
          <xdr:rowOff>171450</xdr:rowOff>
        </xdr:from>
        <xdr:to>
          <xdr:col>12</xdr:col>
          <xdr:colOff>234950</xdr:colOff>
          <xdr:row>5</xdr:row>
          <xdr:rowOff>609600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E" sz="1100" b="0" i="0" u="none" strike="noStrike" baseline="0">
                  <a:solidFill>
                    <a:srgbClr val="3A3838"/>
                  </a:solidFill>
                  <a:latin typeface="Garamond"/>
                </a:rPr>
                <a:t>Email Invoice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SimpleInvoice" displayName="SimpleInvoice" ref="B13:G21" totalsRowShown="0" headerRowDxfId="9" dataDxfId="8">
  <autoFilter ref="B13:G21" xr:uid="{00000000-0009-0000-0100-000004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Item #" dataDxfId="7"/>
    <tableColumn id="2" xr3:uid="{00000000-0010-0000-0000-000002000000}" name="Description" dataDxfId="6"/>
    <tableColumn id="7" xr3:uid="{00000000-0010-0000-0000-000007000000}" name="Qty" dataDxfId="5"/>
    <tableColumn id="8" xr3:uid="{00000000-0010-0000-0000-000008000000}" name="Unit price" dataDxfId="4"/>
    <tableColumn id="10" xr3:uid="{00000000-0010-0000-0000-00000A000000}" name="Discount" dataDxfId="3"/>
    <tableColumn id="11" xr3:uid="{00000000-0010-0000-0000-00000B000000}" name="Price" dataDxfId="2">
      <calculatedColumnFormula>IFERROR(IF(SimpleInvoice[[#This Row],[Unit price]]="","",(SimpleInvoice[[#This Row],[Qty]]*SimpleInvoice[[#This Row],[Unit price]])-SimpleInvoice[[#This Row],[Discount]]),"")</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E72EB9B-62F6-4373-AB2D-E5D18A2DD9A0}" name="Table1" displayName="Table1" ref="E5:I9" totalsRowShown="0" headerRowDxfId="1">
  <autoFilter ref="E5:I9" xr:uid="{5E72EB9B-62F6-4373-AB2D-E5D18A2DD9A0}"/>
  <tableColumns count="5">
    <tableColumn id="1" xr3:uid="{C4177BFC-DAEE-4878-AD01-A6643ACC9D76}" name="Company"/>
    <tableColumn id="2" xr3:uid="{788E49ED-7BB7-400A-BBCB-8BB2E471238A}" name="Address"/>
    <tableColumn id="3" xr3:uid="{7CC5B40F-C7CD-479C-B9E6-8E968D544669}" name="Email" dataDxfId="0" dataCellStyle="Hyperlink"/>
    <tableColumn id="4" xr3:uid="{2FA6635D-F906-44C2-9CC5-C3E6334DF9F1}" name="Proprietor"/>
    <tableColumn id="5" xr3:uid="{86884257-DBDF-4D4C-8939-9DB1173AAF71}" name="Phone"/>
  </tableColumns>
  <tableStyleInfo name="Invoice" showFirstColumn="0" showLastColumn="0" showRowStripes="1" showColumnStripes="0"/>
</table>
</file>

<file path=xl/theme/theme1.xml><?xml version="1.0" encoding="utf-8"?>
<a:theme xmlns:a="http://schemas.openxmlformats.org/drawingml/2006/main" name="Office Theme">
  <a:themeElements>
    <a:clrScheme name="TM03987161">
      <a:dk1>
        <a:srgbClr val="000000"/>
      </a:dk1>
      <a:lt1>
        <a:srgbClr val="FFFFFF"/>
      </a:lt1>
      <a:dk2>
        <a:srgbClr val="DDF4F9"/>
      </a:dk2>
      <a:lt2>
        <a:srgbClr val="E7E6E6"/>
      </a:lt2>
      <a:accent1>
        <a:srgbClr val="2DA2BF"/>
      </a:accent1>
      <a:accent2>
        <a:srgbClr val="D91F27"/>
      </a:accent2>
      <a:accent3>
        <a:srgbClr val="EB631A"/>
      </a:accent3>
      <a:accent4>
        <a:srgbClr val="39639D"/>
      </a:accent4>
      <a:accent5>
        <a:srgbClr val="474B78"/>
      </a:accent5>
      <a:accent6>
        <a:srgbClr val="7D3C49"/>
      </a:accent6>
      <a:hlink>
        <a:srgbClr val="0563C1"/>
      </a:hlink>
      <a:folHlink>
        <a:srgbClr val="954F72"/>
      </a:folHlink>
    </a:clrScheme>
    <a:fontScheme name="Custom 34">
      <a:majorFont>
        <a:latin typeface="Tw Cen MT"/>
        <a:ea typeface=""/>
        <a:cs typeface=""/>
      </a:majorFont>
      <a:minorFont>
        <a:latin typeface="Garamond"/>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mailto:prepclass@prep.com"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hyperlink" Target="mailto:sa@abc.com" TargetMode="External"/><Relationship Id="rId2" Type="http://schemas.openxmlformats.org/officeDocument/2006/relationships/hyperlink" Target="mailto:xy@abc.com" TargetMode="External"/><Relationship Id="rId1" Type="http://schemas.openxmlformats.org/officeDocument/2006/relationships/hyperlink" Target="mailto:ain@abc.com" TargetMode="External"/><Relationship Id="rId5" Type="http://schemas.openxmlformats.org/officeDocument/2006/relationships/table" Target="../tables/table2.xml"/><Relationship Id="rId4" Type="http://schemas.openxmlformats.org/officeDocument/2006/relationships/hyperlink" Target="mailto:prep@abc.com"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4" tint="-0.499984740745262"/>
    <pageSetUpPr autoPageBreaks="0" fitToPage="1"/>
  </sheetPr>
  <dimension ref="A1:H31"/>
  <sheetViews>
    <sheetView showGridLines="0" tabSelected="1" zoomScaleNormal="100" workbookViewId="0">
      <selection activeCell="J11" sqref="J11"/>
    </sheetView>
  </sheetViews>
  <sheetFormatPr defaultColWidth="9" defaultRowHeight="33.9" customHeight="1" x14ac:dyDescent="0.35"/>
  <cols>
    <col min="1" max="1" width="8.19921875" style="2" customWidth="1"/>
    <col min="2" max="2" width="18.59765625" style="2" customWidth="1"/>
    <col min="3" max="3" width="25" style="2" customWidth="1"/>
    <col min="4" max="5" width="18.59765625" style="2" customWidth="1"/>
    <col min="6" max="6" width="20.09765625" style="2" customWidth="1"/>
    <col min="7" max="7" width="18.59765625" style="2" customWidth="1"/>
    <col min="8" max="8" width="8.19921875" style="2" customWidth="1"/>
    <col min="9" max="16384" width="9" style="2"/>
  </cols>
  <sheetData>
    <row r="1" spans="1:8" ht="50.15" customHeight="1" x14ac:dyDescent="0.35">
      <c r="A1" s="1"/>
      <c r="B1" s="1"/>
      <c r="C1" s="1"/>
      <c r="D1" s="1"/>
      <c r="E1" s="1"/>
      <c r="F1" s="1"/>
      <c r="G1" s="1"/>
      <c r="H1" s="1"/>
    </row>
    <row r="2" spans="1:8" ht="57.9" customHeight="1" x14ac:dyDescent="1.3">
      <c r="A2" s="1"/>
      <c r="B2" s="3"/>
      <c r="C2" s="59" t="s">
        <v>64</v>
      </c>
      <c r="D2" s="59"/>
      <c r="E2" s="4"/>
      <c r="F2" s="5"/>
      <c r="G2" s="39" t="s">
        <v>16</v>
      </c>
      <c r="H2" s="6"/>
    </row>
    <row r="3" spans="1:8" ht="15.9" customHeight="1" x14ac:dyDescent="0.35">
      <c r="A3" s="1"/>
      <c r="B3" s="7"/>
      <c r="C3" s="61" t="s">
        <v>65</v>
      </c>
      <c r="D3" s="61"/>
      <c r="E3" s="8"/>
      <c r="F3" s="40" t="s">
        <v>22</v>
      </c>
      <c r="G3" s="9">
        <v>10654</v>
      </c>
      <c r="H3" s="10"/>
    </row>
    <row r="4" spans="1:8" ht="15.9" customHeight="1" x14ac:dyDescent="0.35">
      <c r="A4" s="1"/>
      <c r="B4" s="11" t="s">
        <v>17</v>
      </c>
      <c r="C4" s="61"/>
      <c r="D4" s="61"/>
      <c r="E4" s="12"/>
      <c r="F4" s="41" t="s">
        <v>23</v>
      </c>
      <c r="G4" s="13">
        <f ca="1">TODAY()</f>
        <v>45887</v>
      </c>
      <c r="H4" s="10"/>
    </row>
    <row r="5" spans="1:8" ht="15.9" customHeight="1" x14ac:dyDescent="0.35">
      <c r="A5" s="1"/>
      <c r="B5" s="14"/>
      <c r="C5" s="15"/>
      <c r="D5" s="15"/>
      <c r="E5" s="16"/>
      <c r="F5" s="42" t="s">
        <v>24</v>
      </c>
      <c r="G5" s="17" t="s">
        <v>21</v>
      </c>
      <c r="H5" s="18"/>
    </row>
    <row r="6" spans="1:8" ht="60" customHeight="1" x14ac:dyDescent="0.35">
      <c r="A6" s="1"/>
      <c r="B6" s="19"/>
      <c r="C6" s="19"/>
      <c r="D6" s="8"/>
      <c r="E6" s="8"/>
      <c r="F6" s="43"/>
      <c r="G6" s="20"/>
      <c r="H6" s="10"/>
    </row>
    <row r="7" spans="1:8" ht="15.9" customHeight="1" x14ac:dyDescent="0.35">
      <c r="A7" s="1"/>
      <c r="B7" s="21" t="s">
        <v>10</v>
      </c>
      <c r="C7" s="21"/>
      <c r="D7" s="22"/>
      <c r="E7" s="22"/>
      <c r="F7" s="44" t="s">
        <v>18</v>
      </c>
      <c r="G7" s="23" t="s">
        <v>43</v>
      </c>
      <c r="H7" s="24"/>
    </row>
    <row r="8" spans="1:8" ht="15.9" customHeight="1" x14ac:dyDescent="0.35">
      <c r="A8" s="1"/>
      <c r="B8" s="21" t="s">
        <v>11</v>
      </c>
      <c r="C8" s="21"/>
      <c r="D8" s="25"/>
      <c r="E8" s="25"/>
      <c r="F8" s="45" t="s">
        <v>19</v>
      </c>
      <c r="G8" s="26" t="str">
        <f>_xlfn.XLOOKUP(G7,Customers!H6:H1048576,Customers!F6:F1048576)</f>
        <v>12 Avenue Corner</v>
      </c>
      <c r="H8" s="24"/>
    </row>
    <row r="9" spans="1:8" ht="15.9" customHeight="1" x14ac:dyDescent="0.35">
      <c r="A9" s="1"/>
      <c r="B9" s="21" t="s">
        <v>12</v>
      </c>
      <c r="C9" s="27"/>
      <c r="D9" s="22"/>
      <c r="E9" s="22"/>
      <c r="F9" s="44" t="s">
        <v>61</v>
      </c>
      <c r="G9" s="28" t="str">
        <f>_xlfn.XLOOKUP(G7,Customers!H6:H1048576,Customers!E6:E1048576)</f>
        <v>XYX Inc</v>
      </c>
      <c r="H9" s="24"/>
    </row>
    <row r="10" spans="1:8" ht="15.9" customHeight="1" x14ac:dyDescent="0.35">
      <c r="A10" s="1"/>
      <c r="B10" s="21" t="s">
        <v>13</v>
      </c>
      <c r="C10" s="21"/>
      <c r="D10" s="25"/>
      <c r="E10" s="25"/>
      <c r="F10" s="45" t="s">
        <v>20</v>
      </c>
      <c r="G10" s="26">
        <f>_xlfn.XLOOKUP(G7,Customers!H6:H1048576,Customers!I6:I1048576)</f>
        <v>86837843</v>
      </c>
      <c r="H10" s="24"/>
    </row>
    <row r="11" spans="1:8" ht="15.9" customHeight="1" x14ac:dyDescent="0.35">
      <c r="A11" s="1"/>
      <c r="B11" s="53" t="s">
        <v>66</v>
      </c>
      <c r="C11" s="25"/>
      <c r="D11" s="22"/>
      <c r="E11" s="22"/>
      <c r="F11" s="44" t="s">
        <v>28</v>
      </c>
      <c r="G11" s="29" t="str">
        <f>_xlfn.XLOOKUP(G7,Customers!H6:H1048576,Customers!G6:G1048576)</f>
        <v>xy@abc.com</v>
      </c>
      <c r="H11" s="24"/>
    </row>
    <row r="12" spans="1:8" ht="60.9" customHeight="1" x14ac:dyDescent="0.35">
      <c r="A12" s="1"/>
      <c r="B12" s="30"/>
      <c r="C12" s="15"/>
      <c r="D12" s="15"/>
      <c r="E12" s="15"/>
      <c r="F12" s="15"/>
      <c r="G12" s="15"/>
      <c r="H12" s="18"/>
    </row>
    <row r="13" spans="1:8" ht="26.15" customHeight="1" x14ac:dyDescent="0.35">
      <c r="A13" s="1"/>
      <c r="B13" s="54" t="s">
        <v>9</v>
      </c>
      <c r="C13" s="54" t="s">
        <v>1</v>
      </c>
      <c r="D13" s="55" t="s">
        <v>6</v>
      </c>
      <c r="E13" s="55" t="s">
        <v>14</v>
      </c>
      <c r="F13" s="55" t="s">
        <v>8</v>
      </c>
      <c r="G13" s="55" t="s">
        <v>7</v>
      </c>
      <c r="H13" s="31"/>
    </row>
    <row r="14" spans="1:8" ht="26.15" customHeight="1" x14ac:dyDescent="0.35">
      <c r="A14" s="1"/>
      <c r="B14" s="56" t="s">
        <v>47</v>
      </c>
      <c r="C14" s="56" t="s">
        <v>50</v>
      </c>
      <c r="D14" s="57">
        <v>57</v>
      </c>
      <c r="E14" s="58">
        <v>25</v>
      </c>
      <c r="F14" s="58"/>
      <c r="G14" s="58">
        <f>IFERROR(IF(SimpleInvoice[[#This Row],[Unit price]]="","",(SimpleInvoice[[#This Row],[Qty]]*SimpleInvoice[[#This Row],[Unit price]])-SimpleInvoice[[#This Row],[Discount]]),"")</f>
        <v>1425</v>
      </c>
      <c r="H14" s="31"/>
    </row>
    <row r="15" spans="1:8" ht="26.15" customHeight="1" x14ac:dyDescent="0.35">
      <c r="A15" s="1"/>
      <c r="B15" s="56" t="s">
        <v>48</v>
      </c>
      <c r="C15" s="56" t="s">
        <v>51</v>
      </c>
      <c r="D15" s="57">
        <v>48</v>
      </c>
      <c r="E15" s="58">
        <v>85</v>
      </c>
      <c r="F15" s="58"/>
      <c r="G15" s="58">
        <f>IFERROR(IF(SimpleInvoice[[#This Row],[Unit price]]="","",(SimpleInvoice[[#This Row],[Qty]]*SimpleInvoice[[#This Row],[Unit price]])-SimpleInvoice[[#This Row],[Discount]]),"")</f>
        <v>4080</v>
      </c>
      <c r="H15" s="31"/>
    </row>
    <row r="16" spans="1:8" ht="26.15" customHeight="1" x14ac:dyDescent="0.35">
      <c r="A16" s="1"/>
      <c r="B16" s="56" t="s">
        <v>49</v>
      </c>
      <c r="C16" s="56" t="s">
        <v>52</v>
      </c>
      <c r="D16" s="57">
        <v>82</v>
      </c>
      <c r="E16" s="58">
        <v>8</v>
      </c>
      <c r="F16" s="58"/>
      <c r="G16" s="58">
        <f>IFERROR(IF(SimpleInvoice[[#This Row],[Unit price]]="","",(SimpleInvoice[[#This Row],[Qty]]*SimpleInvoice[[#This Row],[Unit price]])-SimpleInvoice[[#This Row],[Discount]]),"")</f>
        <v>656</v>
      </c>
      <c r="H16" s="31"/>
    </row>
    <row r="17" spans="1:8" ht="26.15" customHeight="1" x14ac:dyDescent="0.35">
      <c r="A17" s="1"/>
      <c r="B17" s="56" t="s">
        <v>53</v>
      </c>
      <c r="C17" s="56" t="s">
        <v>54</v>
      </c>
      <c r="D17" s="57">
        <v>35</v>
      </c>
      <c r="E17" s="58">
        <v>15</v>
      </c>
      <c r="F17" s="58"/>
      <c r="G17" s="58">
        <f>IFERROR(IF(SimpleInvoice[[#This Row],[Unit price]]="","",(SimpleInvoice[[#This Row],[Qty]]*SimpleInvoice[[#This Row],[Unit price]])-SimpleInvoice[[#This Row],[Discount]]),"")</f>
        <v>525</v>
      </c>
      <c r="H17" s="31"/>
    </row>
    <row r="18" spans="1:8" ht="26.15" customHeight="1" x14ac:dyDescent="0.35">
      <c r="A18" s="1"/>
      <c r="B18" s="56" t="s">
        <v>55</v>
      </c>
      <c r="C18" s="56" t="s">
        <v>58</v>
      </c>
      <c r="D18" s="57">
        <v>50</v>
      </c>
      <c r="E18" s="58">
        <v>20</v>
      </c>
      <c r="F18" s="58"/>
      <c r="G18" s="58">
        <f>IFERROR(IF(SimpleInvoice[[#This Row],[Unit price]]="","",(SimpleInvoice[[#This Row],[Qty]]*SimpleInvoice[[#This Row],[Unit price]])-SimpleInvoice[[#This Row],[Discount]]),"")</f>
        <v>1000</v>
      </c>
      <c r="H18" s="31"/>
    </row>
    <row r="19" spans="1:8" ht="26.15" customHeight="1" x14ac:dyDescent="0.35">
      <c r="A19" s="1"/>
      <c r="B19" s="56" t="s">
        <v>56</v>
      </c>
      <c r="C19" s="56" t="s">
        <v>59</v>
      </c>
      <c r="D19" s="57">
        <v>120</v>
      </c>
      <c r="E19" s="58">
        <v>12</v>
      </c>
      <c r="F19" s="58"/>
      <c r="G19" s="58">
        <f>IFERROR(IF(SimpleInvoice[[#This Row],[Unit price]]="","",(SimpleInvoice[[#This Row],[Qty]]*SimpleInvoice[[#This Row],[Unit price]])-SimpleInvoice[[#This Row],[Discount]]),"")</f>
        <v>1440</v>
      </c>
      <c r="H19" s="31"/>
    </row>
    <row r="20" spans="1:8" ht="26.15" customHeight="1" x14ac:dyDescent="0.35">
      <c r="A20" s="1"/>
      <c r="B20" s="56" t="s">
        <v>57</v>
      </c>
      <c r="C20" s="56" t="s">
        <v>60</v>
      </c>
      <c r="D20" s="57">
        <v>15000</v>
      </c>
      <c r="E20" s="58">
        <v>2</v>
      </c>
      <c r="F20" s="58"/>
      <c r="G20" s="58">
        <f>IFERROR(IF(SimpleInvoice[[#This Row],[Unit price]]="","",(SimpleInvoice[[#This Row],[Qty]]*SimpleInvoice[[#This Row],[Unit price]])-SimpleInvoice[[#This Row],[Discount]]),"")</f>
        <v>30000</v>
      </c>
      <c r="H20" s="31"/>
    </row>
    <row r="21" spans="1:8" ht="26.15" customHeight="1" x14ac:dyDescent="0.35">
      <c r="A21" s="1"/>
      <c r="B21" s="56" t="s">
        <v>62</v>
      </c>
      <c r="C21" s="56" t="s">
        <v>63</v>
      </c>
      <c r="D21" s="57">
        <v>8</v>
      </c>
      <c r="E21" s="58">
        <v>60</v>
      </c>
      <c r="F21" s="58"/>
      <c r="G21" s="58">
        <f>IFERROR(IF(SimpleInvoice[[#This Row],[Unit price]]="","",(SimpleInvoice[[#This Row],[Qty]]*SimpleInvoice[[#This Row],[Unit price]])-SimpleInvoice[[#This Row],[Discount]]),"")</f>
        <v>480</v>
      </c>
      <c r="H21" s="31"/>
    </row>
    <row r="22" spans="1:8" ht="26.15" customHeight="1" x14ac:dyDescent="0.35">
      <c r="A22" s="1"/>
      <c r="B22" s="32"/>
      <c r="C22" s="32"/>
      <c r="D22" s="15"/>
      <c r="E22" s="15"/>
      <c r="F22" s="33" t="s">
        <v>3</v>
      </c>
      <c r="G22" s="46">
        <f>SUM(SimpleInvoice[Price])</f>
        <v>39606</v>
      </c>
      <c r="H22" s="31"/>
    </row>
    <row r="23" spans="1:8" ht="26.15" customHeight="1" x14ac:dyDescent="0.35">
      <c r="A23" s="1"/>
      <c r="B23" s="32"/>
      <c r="C23" s="32"/>
      <c r="D23" s="15"/>
      <c r="E23" s="15"/>
      <c r="F23" s="33" t="s">
        <v>4</v>
      </c>
      <c r="G23" s="47">
        <v>0.06</v>
      </c>
      <c r="H23" s="31"/>
    </row>
    <row r="24" spans="1:8" ht="26.15" customHeight="1" x14ac:dyDescent="0.35">
      <c r="A24" s="1"/>
      <c r="B24" s="32"/>
      <c r="C24" s="32"/>
      <c r="D24" s="15"/>
      <c r="E24" s="15"/>
      <c r="F24" s="33" t="s">
        <v>5</v>
      </c>
      <c r="G24" s="46">
        <f>IFERROR(G22*G23,"")</f>
        <v>2376.36</v>
      </c>
      <c r="H24" s="31"/>
    </row>
    <row r="25" spans="1:8" ht="26.15" customHeight="1" x14ac:dyDescent="0.35">
      <c r="A25" s="1"/>
      <c r="B25" s="34"/>
      <c r="C25" s="34"/>
      <c r="D25" s="34"/>
      <c r="E25" s="35"/>
      <c r="F25" s="33" t="s">
        <v>2</v>
      </c>
      <c r="G25" s="46">
        <v>50</v>
      </c>
      <c r="H25" s="31"/>
    </row>
    <row r="26" spans="1:8" ht="26.15" customHeight="1" x14ac:dyDescent="0.35">
      <c r="A26" s="1"/>
      <c r="B26" s="36"/>
      <c r="C26" s="36"/>
      <c r="D26" s="36"/>
      <c r="E26" s="37"/>
      <c r="F26" s="38" t="s">
        <v>0</v>
      </c>
      <c r="G26" s="48">
        <f>SUM(G14:G16)-G25</f>
        <v>6111</v>
      </c>
      <c r="H26" s="18"/>
    </row>
    <row r="27" spans="1:8" ht="50.15" customHeight="1" x14ac:dyDescent="0.35">
      <c r="A27" s="1"/>
      <c r="B27" s="32"/>
      <c r="C27" s="32"/>
      <c r="D27" s="32"/>
      <c r="E27" s="32"/>
      <c r="F27" s="32"/>
      <c r="G27" s="32"/>
      <c r="H27" s="1"/>
    </row>
    <row r="28" spans="1:8" ht="15" customHeight="1" x14ac:dyDescent="0.35">
      <c r="A28" s="1"/>
      <c r="B28" s="60" t="str">
        <f>"Please make all checks payable to " &amp; C2 &amp; IF(C3="",""," " &amp; C3) &amp; "."</f>
        <v>Please make all checks payable to PREP-CLASS ENTERPRISE.</v>
      </c>
      <c r="C28" s="60"/>
      <c r="D28" s="60"/>
      <c r="E28" s="60"/>
      <c r="F28" s="60"/>
      <c r="G28" s="60"/>
      <c r="H28" s="1"/>
    </row>
    <row r="29" spans="1:8" ht="15" customHeight="1" x14ac:dyDescent="0.35">
      <c r="A29" s="1"/>
      <c r="B29" s="60" t="s">
        <v>15</v>
      </c>
      <c r="C29" s="60"/>
      <c r="D29" s="60"/>
      <c r="E29" s="60"/>
      <c r="F29" s="60"/>
      <c r="G29" s="60"/>
      <c r="H29" s="1"/>
    </row>
    <row r="30" spans="1:8" ht="15.9" customHeight="1" x14ac:dyDescent="0.35">
      <c r="A30" s="1"/>
      <c r="B30" s="60" t="s">
        <v>67</v>
      </c>
      <c r="C30" s="60"/>
      <c r="D30" s="60"/>
      <c r="E30" s="60"/>
      <c r="F30" s="60"/>
      <c r="G30" s="60"/>
      <c r="H30" s="1"/>
    </row>
    <row r="31" spans="1:8" ht="59.15" customHeight="1" x14ac:dyDescent="0.35">
      <c r="A31" s="1"/>
      <c r="B31" s="1"/>
      <c r="C31" s="1"/>
      <c r="D31" s="1"/>
      <c r="E31" s="1"/>
      <c r="F31" s="1"/>
      <c r="G31" s="1"/>
      <c r="H31" s="1"/>
    </row>
  </sheetData>
  <sheetProtection formatCells="0" formatColumns="0" formatRows="0" selectLockedCells="1" sort="0"/>
  <mergeCells count="5">
    <mergeCell ref="C2:D2"/>
    <mergeCell ref="B30:G30"/>
    <mergeCell ref="B28:G28"/>
    <mergeCell ref="B29:G29"/>
    <mergeCell ref="C3:D4"/>
  </mergeCells>
  <phoneticPr fontId="1" type="noConversion"/>
  <dataValidations xWindow="760" yWindow="637" count="35">
    <dataValidation allowBlank="1" showInputMessage="1" showErrorMessage="1" prompt="The total amount is automatically calculated in this cell" sqref="G26" xr:uid="{00000000-0002-0000-0000-000000000000}"/>
    <dataValidation allowBlank="1" showInputMessage="1" showErrorMessage="1" prompt="Enter the deposit amount, if any" sqref="G25" xr:uid="{00000000-0002-0000-0000-000001000000}"/>
    <dataValidation allowBlank="1" showInputMessage="1" showErrorMessage="1" prompt="The sales tax is automatically calculated in this cell" sqref="G24" xr:uid="{00000000-0002-0000-0000-000003000000}"/>
    <dataValidation allowBlank="1" showInputMessage="1" showErrorMessage="1" prompt="Enter tax rate in this cell" sqref="G23" xr:uid="{00000000-0002-0000-0000-000004000000}"/>
    <dataValidation allowBlank="1" showInputMessage="1" showErrorMessage="1" prompt="The subtotal amount is automatically calculated in this cell" sqref="G22" xr:uid="{00000000-0002-0000-0000-000005000000}"/>
    <dataValidation allowBlank="1" showInputMessage="1" showErrorMessage="1" prompt="Price is auto calculated under this heading" sqref="G13" xr:uid="{00000000-0002-0000-0000-000006000000}"/>
    <dataValidation allowBlank="1" showInputMessage="1" showErrorMessage="1" prompt="Enter Discount in this column under this heading" sqref="F13" xr:uid="{00000000-0002-0000-0000-000007000000}"/>
    <dataValidation allowBlank="1" showInputMessage="1" showErrorMessage="1" prompt="Enter Unit Price in this column under this heading" sqref="E13" xr:uid="{00000000-0002-0000-0000-000008000000}"/>
    <dataValidation allowBlank="1" showInputMessage="1" showErrorMessage="1" prompt="Enter Quantity in this column under this heading" sqref="D13" xr:uid="{00000000-0002-0000-0000-000009000000}"/>
    <dataValidation allowBlank="1" showInputMessage="1" showErrorMessage="1" prompt="Enter Description in this column under this heading" sqref="C13" xr:uid="{00000000-0002-0000-0000-00000A000000}"/>
    <dataValidation allowBlank="1" showInputMessage="1" showErrorMessage="1" prompt="Enter Item number in this column under this heading" sqref="B13" xr:uid="{00000000-0002-0000-0000-00000B000000}"/>
    <dataValidation allowBlank="1" showInputMessage="1" showErrorMessage="1" prompt="Enter customer fax number in the cell at right" sqref="F11" xr:uid="{00000000-0002-0000-0000-00000E000000}"/>
    <dataValidation allowBlank="1" showInputMessage="1" showErrorMessage="1" prompt="Enter customer fax number in this cell" sqref="G11" xr:uid="{00000000-0002-0000-0000-00000F000000}"/>
    <dataValidation allowBlank="1" showInputMessage="1" showErrorMessage="1" prompt="Enter company phone number in this cell" sqref="B9" xr:uid="{00000000-0002-0000-0000-000011000000}"/>
    <dataValidation allowBlank="1" showInputMessage="1" showErrorMessage="1" prompt="Enter company email address in this cell" sqref="B11" xr:uid="{00000000-0002-0000-0000-000012000000}"/>
    <dataValidation allowBlank="1" showInputMessage="1" showErrorMessage="1" prompt="Create a simple invoice in this worksheet" sqref="A1" xr:uid="{00000000-0002-0000-0000-000018000000}"/>
    <dataValidation allowBlank="1" showInputMessage="1" showErrorMessage="1" prompt="Enter invoice date in this cell" sqref="G4" xr:uid="{00000000-0002-0000-0000-00001D000000}"/>
    <dataValidation allowBlank="1" showInputMessage="1" showErrorMessage="1" prompt="Enter invoice # in the cell at right" sqref="F3" xr:uid="{83A624A0-C412-42C5-B209-AF4807490BE9}"/>
    <dataValidation allowBlank="1" showInputMessage="1" showErrorMessage="1" prompt="Enter invoice # in this cell" sqref="G3" xr:uid="{F621686B-821D-410B-9321-DAD7BEDBAC49}"/>
    <dataValidation allowBlank="1" showInputMessage="1" showErrorMessage="1" prompt="Enter job type in the cell at right" sqref="F5" xr:uid="{35BF3B7D-2E6B-4A9D-8F8F-F083E5880A3C}"/>
    <dataValidation allowBlank="1" showInputMessage="1" showErrorMessage="1" prompt="Enter job type in this cell" sqref="G5" xr:uid="{575431E7-7DC3-4301-B07A-F199F3654CAA}"/>
    <dataValidation allowBlank="1" showInputMessage="1" showErrorMessage="1" prompt="Enter your company street address in this cell" sqref="B7" xr:uid="{82E06D46-C535-4215-ABE2-50F137A2D4A6}"/>
    <dataValidation allowBlank="1" showInputMessage="1" showErrorMessage="1" prompt="Enter invoice date in the cell at right" sqref="F4" xr:uid="{B3062644-4D1F-4F79-AC3C-010ED2EB5990}"/>
    <dataValidation allowBlank="1" showInputMessage="1" showErrorMessage="1" prompt="Enter company's city, state, and ZIP in this cell" sqref="B8" xr:uid="{18D822BA-1A05-41AF-B262-8D5E95B0B335}"/>
    <dataValidation allowBlank="1" showInputMessage="1" showErrorMessage="1" prompt="Enter company fax number in this cell" sqref="B10" xr:uid="{71BB0314-38F3-4163-AAC1-3B2187A87818}"/>
    <dataValidation allowBlank="1" showInputMessage="1" showErrorMessage="1" prompt="Enter customer name in the cell at right" sqref="F7" xr:uid="{4CF19155-F4AD-4522-BFEA-753FADFA88F2}"/>
    <dataValidation allowBlank="1" showInputMessage="1" showErrorMessage="1" prompt="Enter customer address in the cell at right" sqref="F8" xr:uid="{0E26DF2A-779B-464B-9E11-AB344ECBCC45}"/>
    <dataValidation allowBlank="1" showInputMessage="1" showErrorMessage="1" prompt="Enter customer street address in this cell" sqref="G8" xr:uid="{44D7B560-86A6-416B-93FB-02CCC4D45216}"/>
    <dataValidation allowBlank="1" showInputMessage="1" showErrorMessage="1" prompt="Enter customer phone number in the cell at right" sqref="F10" xr:uid="{B5FAD08C-605F-4F22-B83D-E2A4AF3A5206}"/>
    <dataValidation allowBlank="1" showInputMessage="1" showErrorMessage="1" prompt="Enter customer phone number in this cell" sqref="G10" xr:uid="{C81B61FA-185A-40AB-B138-AD6125ACA2B9}"/>
    <dataValidation allowBlank="1" showInputMessage="1" showErrorMessage="1" prompt="Enter customer city, state, and ZIP in this cell" sqref="G9" xr:uid="{0837AB85-7C6D-4219-95BE-21B09C16AEEB}"/>
    <dataValidation allowBlank="1" showInputMessage="1" showErrorMessage="1" prompt="Update this cell with your company's email address and website" sqref="B30:G30" xr:uid="{B4B0F608-2AB4-49B8-95A2-7208F3B9FDCF}"/>
    <dataValidation allowBlank="1" showInputMessage="1" showErrorMessage="1" prompt="Modify company name in this cell and the cell below. Enter company address, phone, fax, and email in cells B7 to B11. Enter Billing details in cells G3 to G11." sqref="C2:D2" xr:uid="{502B3778-4707-431F-B253-84B137ED09B1}"/>
    <dataValidation allowBlank="1" showInputMessage="1" showErrorMessage="1" prompt="Replace the number of days in which the balance is due and service charge percent per month in this cell" sqref="B29:G29" xr:uid="{A2CA9311-E750-4E5F-9BEF-8636778AB2B4}"/>
    <dataValidation allowBlank="1" showInputMessage="1" showErrorMessage="1" prompt="Company name is automatically appended in this cell" sqref="B28:G28" xr:uid="{9B688D8E-66C4-4708-A180-A107D02C7D6E}"/>
  </dataValidations>
  <hyperlinks>
    <hyperlink ref="B11" r:id="rId1" xr:uid="{4B8369DD-8A98-B940-AC2E-E2FB20562035}"/>
  </hyperlinks>
  <printOptions horizontalCentered="1"/>
  <pageMargins left="0.7" right="0.7" top="0.75" bottom="0.75" header="0.3" footer="0.3"/>
  <pageSetup fitToHeight="0" orientation="portrait" horizontalDpi="300" verticalDpi="300" r:id="rId2"/>
  <headerFooter differentFirst="1" alignWithMargins="0">
    <oddFooter>Page &amp;P of &amp;N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print="0" autoFill="0" autoPict="0" macro="[0]!SaveAsPDF">
                <anchor moveWithCells="1" sizeWithCells="1">
                  <from>
                    <xdr:col>8</xdr:col>
                    <xdr:colOff>425450</xdr:colOff>
                    <xdr:row>1</xdr:row>
                    <xdr:rowOff>508000</xdr:rowOff>
                  </from>
                  <to>
                    <xdr:col>12</xdr:col>
                    <xdr:colOff>203200</xdr:colOff>
                    <xdr:row>3</xdr:row>
                    <xdr:rowOff>19050</xdr:rowOff>
                  </to>
                </anchor>
              </controlPr>
            </control>
          </mc:Choice>
        </mc:AlternateContent>
        <mc:AlternateContent xmlns:mc="http://schemas.openxmlformats.org/markup-compatibility/2006">
          <mc:Choice Requires="x14">
            <control shapeId="1028" r:id="rId6" name="Button 4">
              <controlPr defaultSize="0" print="0" autoFill="0" autoPict="0" macro="[0]!EmailInvoice">
                <anchor moveWithCells="1" sizeWithCells="1">
                  <from>
                    <xdr:col>8</xdr:col>
                    <xdr:colOff>457200</xdr:colOff>
                    <xdr:row>5</xdr:row>
                    <xdr:rowOff>171450</xdr:rowOff>
                  </from>
                  <to>
                    <xdr:col>12</xdr:col>
                    <xdr:colOff>234950</xdr:colOff>
                    <xdr:row>5</xdr:row>
                    <xdr:rowOff>609600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xWindow="760" yWindow="637" count="1">
        <x14:dataValidation type="list" allowBlank="1" showInputMessage="1" showErrorMessage="1" prompt="Enter customer name in this cell" xr:uid="{64F47341-C48E-4FA0-85F3-B2E61C2DF71A}">
          <x14:formula1>
            <xm:f>Customers!$H$6:$H$1048576</xm:f>
          </x14:formula1>
          <xm:sqref>G7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42361F-D64E-4D60-905E-6275EF178BD2}">
  <sheetPr codeName="Sheet1"/>
  <dimension ref="D2:M12"/>
  <sheetViews>
    <sheetView workbookViewId="0">
      <selection activeCell="H7" sqref="H7"/>
    </sheetView>
  </sheetViews>
  <sheetFormatPr defaultRowHeight="14.5" x14ac:dyDescent="0.35"/>
  <cols>
    <col min="3" max="3" width="5.19921875" customWidth="1"/>
    <col min="4" max="4" width="8.796875" hidden="1" customWidth="1"/>
    <col min="5" max="5" width="22.3984375" customWidth="1"/>
    <col min="6" max="6" width="30.3984375" customWidth="1"/>
    <col min="7" max="7" width="24.8984375" customWidth="1"/>
    <col min="8" max="8" width="19.19921875" customWidth="1"/>
    <col min="9" max="9" width="18.8984375" customWidth="1"/>
  </cols>
  <sheetData>
    <row r="2" spans="5:13" x14ac:dyDescent="0.35">
      <c r="E2" s="62" t="s">
        <v>25</v>
      </c>
      <c r="F2" s="62"/>
      <c r="G2" s="62"/>
      <c r="H2" s="62"/>
      <c r="I2" s="62"/>
      <c r="J2" s="62"/>
      <c r="K2" s="62"/>
      <c r="L2" s="62"/>
      <c r="M2" s="62"/>
    </row>
    <row r="3" spans="5:13" ht="17.5" customHeight="1" x14ac:dyDescent="0.35">
      <c r="E3" s="62"/>
      <c r="F3" s="62"/>
      <c r="G3" s="62"/>
      <c r="H3" s="62"/>
      <c r="I3" s="62"/>
      <c r="J3" s="62"/>
      <c r="K3" s="62"/>
      <c r="L3" s="62"/>
      <c r="M3" s="62"/>
    </row>
    <row r="4" spans="5:13" ht="13.5" customHeight="1" x14ac:dyDescent="0.35"/>
    <row r="5" spans="5:13" ht="15.5" customHeight="1" x14ac:dyDescent="0.35">
      <c r="E5" s="50" t="s">
        <v>26</v>
      </c>
      <c r="F5" s="50" t="s">
        <v>27</v>
      </c>
      <c r="G5" s="51" t="s">
        <v>28</v>
      </c>
      <c r="H5" s="50" t="s">
        <v>41</v>
      </c>
      <c r="I5" s="50" t="s">
        <v>46</v>
      </c>
    </row>
    <row r="6" spans="5:13" x14ac:dyDescent="0.35">
      <c r="E6" t="s">
        <v>29</v>
      </c>
      <c r="F6" t="s">
        <v>30</v>
      </c>
      <c r="G6" s="52" t="s">
        <v>31</v>
      </c>
      <c r="H6" t="s">
        <v>42</v>
      </c>
      <c r="I6">
        <v>88856835</v>
      </c>
    </row>
    <row r="7" spans="5:13" x14ac:dyDescent="0.35">
      <c r="E7" t="s">
        <v>32</v>
      </c>
      <c r="F7" t="s">
        <v>33</v>
      </c>
      <c r="G7" s="52" t="s">
        <v>34</v>
      </c>
      <c r="H7" t="s">
        <v>43</v>
      </c>
      <c r="I7">
        <v>86837843</v>
      </c>
    </row>
    <row r="8" spans="5:13" x14ac:dyDescent="0.35">
      <c r="E8" t="s">
        <v>35</v>
      </c>
      <c r="F8" t="s">
        <v>36</v>
      </c>
      <c r="G8" s="52" t="s">
        <v>37</v>
      </c>
      <c r="H8" t="s">
        <v>44</v>
      </c>
      <c r="I8">
        <v>83764837</v>
      </c>
    </row>
    <row r="9" spans="5:13" x14ac:dyDescent="0.35">
      <c r="E9" t="s">
        <v>38</v>
      </c>
      <c r="F9" t="s">
        <v>39</v>
      </c>
      <c r="G9" s="52" t="s">
        <v>40</v>
      </c>
      <c r="H9" t="s">
        <v>45</v>
      </c>
      <c r="I9">
        <v>88463856</v>
      </c>
    </row>
    <row r="12" spans="5:13" x14ac:dyDescent="0.35">
      <c r="F12" s="49"/>
    </row>
  </sheetData>
  <mergeCells count="1">
    <mergeCell ref="E2:M3"/>
  </mergeCells>
  <hyperlinks>
    <hyperlink ref="G6" r:id="rId1" xr:uid="{241043C0-A716-486D-A7AD-F1DFDE9D4FD6}"/>
    <hyperlink ref="G7" r:id="rId2" xr:uid="{B84CA632-397C-43AC-A169-B0A25224F156}"/>
    <hyperlink ref="G8" r:id="rId3" xr:uid="{E9B0599B-3D31-4FCB-94A4-8D682CE69203}"/>
    <hyperlink ref="G9" r:id="rId4" xr:uid="{AF4F0076-B9A9-4A4A-B974-5E44A6462093}"/>
  </hyperlinks>
  <pageMargins left="0.7" right="0.7" top="0.75" bottom="0.75" header="0.3" footer="0.3"/>
  <tableParts count="1">
    <tablePart r:id="rId5"/>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9F111ED35F8CC479449609E8A0923A6" ma:contentTypeVersion="28" ma:contentTypeDescription="Create a new document." ma:contentTypeScope="" ma:versionID="60f5a4f2d2b0abadcf532d48ebf9cb71">
  <xsd:schema xmlns:xsd="http://www.w3.org/2001/XMLSchema" xmlns:xs="http://www.w3.org/2001/XMLSchema" xmlns:p="http://schemas.microsoft.com/office/2006/metadata/properties" xmlns:ns1="http://schemas.microsoft.com/sharepoint/v3" xmlns:ns2="71af3243-3dd4-4a8d-8c0d-dd76da1f02a5" xmlns:ns3="16c05727-aa75-4e4a-9b5f-8a80a1165891" xmlns:ns4="230e9df3-be65-4c73-a93b-d1236ebd677e" targetNamespace="http://schemas.microsoft.com/office/2006/metadata/properties" ma:root="true" ma:fieldsID="7dd78129e6a1811f84807ad11c651531" ns1:_="" ns2:_="" ns3:_="" ns4:_="">
    <xsd:import namespace="http://schemas.microsoft.com/sharepoint/v3"/>
    <xsd:import namespace="71af3243-3dd4-4a8d-8c0d-dd76da1f02a5"/>
    <xsd:import namespace="16c05727-aa75-4e4a-9b5f-8a80a1165891"/>
    <xsd:import namespace="230e9df3-be65-4c73-a93b-d1236ebd677e"/>
    <xsd:element name="properties">
      <xsd:complexType>
        <xsd:sequence>
          <xsd:element name="documentManagement">
            <xsd:complexType>
              <xsd:all>
                <xsd:element ref="ns2:Status" minOccurs="0"/>
                <xsd:element ref="ns2:Image" minOccurs="0"/>
                <xsd:element ref="ns2:MediaServiceMetadata" minOccurs="0"/>
                <xsd:element ref="ns2:MediaServiceFastMetadata" minOccurs="0"/>
                <xsd:element ref="ns2:MediaServiceOCR" minOccurs="0"/>
                <xsd:element ref="ns2:MediaServiceAutoTags" minOccurs="0"/>
                <xsd:element ref="ns2:MediaServiceEventHashCode" minOccurs="0"/>
                <xsd:element ref="ns2:MediaServiceGenerationTime" minOccurs="0"/>
                <xsd:element ref="ns3:SharedWithUsers" minOccurs="0"/>
                <xsd:element ref="ns3:SharedWithDetails" minOccurs="0"/>
                <xsd:element ref="ns2:MediaServiceAutoKeyPoints" minOccurs="0"/>
                <xsd:element ref="ns2:MediaServiceKeyPoints" minOccurs="0"/>
                <xsd:element ref="ns2:MediaServiceDateTaken" minOccurs="0"/>
                <xsd:element ref="ns1:_ip_UnifiedCompliancePolicyProperties" minOccurs="0"/>
                <xsd:element ref="ns1:_ip_UnifiedCompliancePolicyUIAction" minOccurs="0"/>
                <xsd:element ref="ns4:TaxCatchAll" minOccurs="0"/>
                <xsd:element ref="ns2:ImageTagsTaxHTField" minOccurs="0"/>
                <xsd:element ref="ns2:MediaServiceLocation" minOccurs="0"/>
                <xsd:element ref="ns2:MediaLengthInSeconds" minOccurs="0"/>
                <xsd:element ref="ns2:Background" minOccurs="0"/>
                <xsd:element ref="ns2:MediaServiceSearchProperties" minOccurs="0"/>
                <xsd:element ref="ns2:MediaServiceDocTags" minOccurs="0"/>
                <xsd:element ref="ns2:MediaServiceObjectDetectorVersions" minOccurs="0"/>
                <xsd:element ref="ns2:MediaServiceSystemTag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0" nillable="true" ma:displayName="Unified Compliance Policy Properties" ma:hidden="true" ma:internalName="_ip_UnifiedCompliancePolicyProperties" ma:readOnly="false">
      <xsd:simpleType>
        <xsd:restriction base="dms:Note"/>
      </xsd:simpleType>
    </xsd:element>
    <xsd:element name="_ip_UnifiedCompliancePolicyUIAction" ma:index="21" nillable="true" ma:displayName="Unified Compliance Policy UI Action" ma:hidden="true" ma:internalName="_ip_UnifiedCompliancePolicyUIAction" ma:readOnly="fals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1af3243-3dd4-4a8d-8c0d-dd76da1f02a5" elementFormDefault="qualified">
    <xsd:import namespace="http://schemas.microsoft.com/office/2006/documentManagement/types"/>
    <xsd:import namespace="http://schemas.microsoft.com/office/infopath/2007/PartnerControls"/>
    <xsd:element name="Status" ma:index="2" nillable="true" ma:displayName="Status" ma:default="Not started" ma:format="Dropdown" ma:internalName="Status" ma:readOnly="false">
      <xsd:simpleType>
        <xsd:restriction base="dms:Choice">
          <xsd:enumeration value="Not started"/>
          <xsd:enumeration value="In Progress"/>
          <xsd:enumeration value="Completed"/>
        </xsd:restriction>
      </xsd:simpleType>
    </xsd:element>
    <xsd:element name="Image" ma:index="3" nillable="true" ma:displayName="Image" ma:format="Image" ma:internalName="Image" ma:readOnly="false">
      <xsd:complexType>
        <xsd:complexContent>
          <xsd:extension base="dms:URL">
            <xsd:sequence>
              <xsd:element name="Url" type="dms:ValidUrl" minOccurs="0" nillable="true"/>
              <xsd:element name="Description" type="xsd:string" nillable="true"/>
            </xsd:sequence>
          </xsd:extension>
        </xsd:complexContent>
      </xsd:complexType>
    </xsd:element>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MediaServiceOCR" ma:hidden="true" ma:internalName="MediaServiceOCR" ma:readOnly="true">
      <xsd:simpleType>
        <xsd:restriction base="dms:Note"/>
      </xsd:simpleType>
    </xsd:element>
    <xsd:element name="MediaServiceAutoTags" ma:index="11" nillable="true" ma:displayName="MediaServiceAutoTags" ma:hidden="true" ma:internalName="MediaServiceAutoTags"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hidden="true" ma:internalName="MediaServiceKeyPoints" ma:readOnly="false">
      <xsd:simpleType>
        <xsd:restriction base="dms:Note"/>
      </xsd:simpleType>
    </xsd:element>
    <xsd:element name="MediaServiceDateTaken" ma:index="18" nillable="true" ma:displayName="MediaServiceDateTaken" ma:hidden="true" ma:internalName="MediaServiceDateTaken" ma:readOnly="true">
      <xsd:simpleType>
        <xsd:restriction base="dms:Text"/>
      </xsd:simpleType>
    </xsd:element>
    <xsd:element name="ImageTagsTaxHTField" ma:index="25" nillable="true" ma:taxonomy="true" ma:internalName="ImageTagsTaxHTField" ma:taxonomyFieldName="MediaServiceImageTags" ma:displayName="Image Tags" ma:readOnly="false" ma:fieldId="{5cf76f15-5ced-4ddc-b409-7134ff3c332f}" ma:taxonomyMulti="true" ma:sspId="e385fb40-52d4-4fae-9c5b-3e8ff8a5878e" ma:termSetId="09814cd3-568e-fe90-9814-8d621ff8fb84" ma:anchorId="fba54fb3-c3e1-fe81-a776-ca4b69148c4d" ma:open="true" ma:isKeyword="false">
      <xsd:complexType>
        <xsd:sequence>
          <xsd:element ref="pc:Terms" minOccurs="0" maxOccurs="1"/>
        </xsd:sequence>
      </xsd:complexType>
    </xsd:element>
    <xsd:element name="MediaServiceLocation" ma:index="26" nillable="true" ma:displayName="Location" ma:hidden="true" ma:internalName="MediaServiceLocation" ma:readOnly="true">
      <xsd:simpleType>
        <xsd:restriction base="dms:Text"/>
      </xsd:simpleType>
    </xsd:element>
    <xsd:element name="MediaLengthInSeconds" ma:index="27" nillable="true" ma:displayName="MediaLengthInSeconds" ma:hidden="true" ma:internalName="MediaLengthInSeconds" ma:readOnly="true">
      <xsd:simpleType>
        <xsd:restriction base="dms:Unknown"/>
      </xsd:simpleType>
    </xsd:element>
    <xsd:element name="Background" ma:index="28" nillable="true" ma:displayName="Background" ma:default="0" ma:format="Dropdown" ma:internalName="Background">
      <xsd:simpleType>
        <xsd:restriction base="dms:Boolean"/>
      </xsd:simpleType>
    </xsd:element>
    <xsd:element name="MediaServiceSearchProperties" ma:index="29" nillable="true" ma:displayName="MediaServiceSearchProperties" ma:hidden="true" ma:internalName="MediaServiceSearchProperties" ma:readOnly="true">
      <xsd:simpleType>
        <xsd:restriction base="dms:Note"/>
      </xsd:simpleType>
    </xsd:element>
    <xsd:element name="MediaServiceDocTags" ma:index="30" nillable="true" ma:displayName="MediaServiceDocTags" ma:hidden="true" ma:internalName="MediaServiceDocTags" ma:readOnly="true">
      <xsd:simpleType>
        <xsd:restriction base="dms:Note"/>
      </xsd:simpleType>
    </xsd:element>
    <xsd:element name="MediaServiceObjectDetectorVersions" ma:index="31" nillable="true" ma:displayName="MediaServiceObjectDetectorVersions" ma:description="" ma:hidden="true" ma:indexed="true" ma:internalName="MediaServiceObjectDetectorVersions" ma:readOnly="true">
      <xsd:simpleType>
        <xsd:restriction base="dms:Text"/>
      </xsd:simpleType>
    </xsd:element>
    <xsd:element name="MediaServiceSystemTags" ma:index="32" nillable="true" ma:displayName="MediaServiceSystemTags" ma:hidden="true" ma:internalName="MediaServiceSystemTag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16c05727-aa75-4e4a-9b5f-8a80a1165891" elementFormDefault="qualified">
    <xsd:import namespace="http://schemas.microsoft.com/office/2006/documentManagement/types"/>
    <xsd:import namespace="http://schemas.microsoft.com/office/infopath/2007/PartnerControls"/>
    <xsd:element name="SharedWithUsers" ma:index="14" nillable="true" ma:displayName="Shared With"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hidden="true" ma:internalName="SharedWithDetail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3f6bfcbc-3db3-4ae6-bd76-326f0798ad28}" ma:internalName="TaxCatchAll" ma:readOnly="false" ma:showField="CatchAllData" ma:web="16c05727-aa75-4e4a-9b5f-8a80a116589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Image xmlns="71af3243-3dd4-4a8d-8c0d-dd76da1f02a5">
      <Url xsi:nil="true"/>
      <Description xsi:nil="true"/>
    </Image>
    <Status xmlns="71af3243-3dd4-4a8d-8c0d-dd76da1f02a5">Not started</Status>
    <Background xmlns="71af3243-3dd4-4a8d-8c0d-dd76da1f02a5">false</Background>
    <_ip_UnifiedCompliancePolicyProperties xmlns="http://schemas.microsoft.com/sharepoint/v3" xsi:nil="true"/>
    <ImageTagsTaxHTField xmlns="71af3243-3dd4-4a8d-8c0d-dd76da1f02a5">
      <Terms xmlns="http://schemas.microsoft.com/office/infopath/2007/PartnerControls"/>
    </ImageTagsTaxHTField>
    <TaxCatchAll xmlns="230e9df3-be65-4c73-a93b-d1236ebd677e" xsi:nil="true"/>
    <MediaServiceKeyPoints xmlns="71af3243-3dd4-4a8d-8c0d-dd76da1f02a5" xsi:nil="true"/>
  </documentManagement>
</p:properties>
</file>

<file path=customXml/itemProps1.xml><?xml version="1.0" encoding="utf-8"?>
<ds:datastoreItem xmlns:ds="http://schemas.openxmlformats.org/officeDocument/2006/customXml" ds:itemID="{1E5C5DE4-DDC2-49C6-A326-5A02D73C4C3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1af3243-3dd4-4a8d-8c0d-dd76da1f02a5"/>
    <ds:schemaRef ds:uri="16c05727-aa75-4e4a-9b5f-8a80a1165891"/>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FF0F6D8-810E-4212-9EE6-9586F0C08C27}">
  <ds:schemaRefs>
    <ds:schemaRef ds:uri="http://schemas.microsoft.com/sharepoint/v3/contenttype/forms"/>
  </ds:schemaRefs>
</ds:datastoreItem>
</file>

<file path=customXml/itemProps3.xml><?xml version="1.0" encoding="utf-8"?>
<ds:datastoreItem xmlns:ds="http://schemas.openxmlformats.org/officeDocument/2006/customXml" ds:itemID="{D1339199-89B4-4D89-B804-0058AC96CA42}">
  <ds:schemaRefs>
    <ds:schemaRef ds:uri="http://schemas.microsoft.com/office/2006/metadata/properties"/>
    <ds:schemaRef ds:uri="http://schemas.microsoft.com/office/infopath/2007/PartnerControls"/>
    <ds:schemaRef ds:uri="http://schemas.microsoft.com/sharepoint/v3"/>
    <ds:schemaRef ds:uri="71af3243-3dd4-4a8d-8c0d-dd76da1f02a5"/>
    <ds:schemaRef ds:uri="230e9df3-be65-4c73-a93b-d1236ebd677e"/>
  </ds:schemaRefs>
</ds:datastoreItem>
</file>

<file path=docMetadata/LabelInfo.xml><?xml version="1.0" encoding="utf-8"?>
<clbl:labelList xmlns:clbl="http://schemas.microsoft.com/office/2020/mipLabelMetadata"/>
</file>

<file path=docProps/app.xml><?xml version="1.0" encoding="utf-8"?>
<Properties xmlns="http://schemas.openxmlformats.org/officeDocument/2006/extended-properties" xmlns:vt="http://schemas.openxmlformats.org/officeDocument/2006/docPropsVTypes">
  <Template>TM03987161</Template>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Invoice</vt:lpstr>
      <vt:lpstr>Customers</vt:lpstr>
      <vt:lpstr>Invoice!Print_Area</vt:lpstr>
      <vt:lpstr>Invoice!Print_Titles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cp:lastModifiedBy/>
  <dcterms:created xsi:type="dcterms:W3CDTF">2023-09-06T10:30:21Z</dcterms:created>
  <dcterms:modified xsi:type="dcterms:W3CDTF">2025-08-18T18:48:59Z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0x01010079F111ED35F8CC479449609E8A0923A6</vt:lpwstr>
  </property>
</Properties>
</file>